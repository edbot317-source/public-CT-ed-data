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alculations\2026-2027\ECS\"/>
    </mc:Choice>
  </mc:AlternateContent>
  <xr:revisionPtr revIDLastSave="0" documentId="13_ncr:1_{00968247-189A-4BA2-9FBC-4EA845FA6013}" xr6:coauthVersionLast="47" xr6:coauthVersionMax="47" xr10:uidLastSave="{00000000-0000-0000-0000-000000000000}"/>
  <bookViews>
    <workbookView xWindow="-93" yWindow="-93" windowWidth="19386" windowHeight="11466" activeTab="1" xr2:uid="{00000000-000D-0000-FFFF-FFFF00000000}"/>
  </bookViews>
  <sheets>
    <sheet name="dhs" sheetId="90" r:id="rId1"/>
    <sheet name="FY 27" sheetId="8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195" i="88" l="1"/>
  <c r="AL195" i="88"/>
  <c r="AH195" i="88"/>
  <c r="AB195" i="88"/>
  <c r="X195" i="88"/>
  <c r="W195" i="88"/>
  <c r="R195" i="88"/>
  <c r="S195" i="88" s="1"/>
  <c r="T195" i="88" s="1"/>
  <c r="U195" i="88" s="1"/>
  <c r="O195" i="88"/>
  <c r="P195" i="88" s="1"/>
  <c r="Q195" i="88" s="1"/>
  <c r="N195" i="88"/>
  <c r="AO194" i="88"/>
  <c r="AL194" i="88"/>
  <c r="AH194" i="88"/>
  <c r="AB194" i="88"/>
  <c r="X194" i="88"/>
  <c r="W194" i="88"/>
  <c r="R194" i="88"/>
  <c r="S194" i="88" s="1"/>
  <c r="T194" i="88" s="1"/>
  <c r="U194" i="88" s="1"/>
  <c r="O194" i="88"/>
  <c r="P194" i="88" s="1"/>
  <c r="Q194" i="88" s="1"/>
  <c r="N194" i="88"/>
  <c r="AO193" i="88"/>
  <c r="AL193" i="88"/>
  <c r="AH193" i="88"/>
  <c r="AB193" i="88"/>
  <c r="X193" i="88"/>
  <c r="W193" i="88"/>
  <c r="R193" i="88"/>
  <c r="S193" i="88" s="1"/>
  <c r="T193" i="88" s="1"/>
  <c r="U193" i="88" s="1"/>
  <c r="O193" i="88"/>
  <c r="P193" i="88" s="1"/>
  <c r="Q193" i="88" s="1"/>
  <c r="N193" i="88"/>
  <c r="AO192" i="88"/>
  <c r="AL192" i="88"/>
  <c r="AH192" i="88"/>
  <c r="AB192" i="88"/>
  <c r="X192" i="88"/>
  <c r="W192" i="88"/>
  <c r="R192" i="88"/>
  <c r="S192" i="88" s="1"/>
  <c r="T192" i="88" s="1"/>
  <c r="U192" i="88" s="1"/>
  <c r="O192" i="88"/>
  <c r="P192" i="88" s="1"/>
  <c r="Q192" i="88" s="1"/>
  <c r="N192" i="88"/>
  <c r="AO191" i="88"/>
  <c r="AL191" i="88"/>
  <c r="AH191" i="88"/>
  <c r="AB191" i="88"/>
  <c r="X191" i="88"/>
  <c r="W191" i="88"/>
  <c r="R191" i="88"/>
  <c r="S191" i="88" s="1"/>
  <c r="T191" i="88" s="1"/>
  <c r="U191" i="88" s="1"/>
  <c r="O191" i="88"/>
  <c r="P191" i="88" s="1"/>
  <c r="Q191" i="88" s="1"/>
  <c r="N191" i="88"/>
  <c r="AO190" i="88"/>
  <c r="AL190" i="88"/>
  <c r="AH190" i="88"/>
  <c r="AB190" i="88"/>
  <c r="X190" i="88"/>
  <c r="W190" i="88"/>
  <c r="R190" i="88"/>
  <c r="S190" i="88" s="1"/>
  <c r="T190" i="88" s="1"/>
  <c r="U190" i="88" s="1"/>
  <c r="O190" i="88"/>
  <c r="P190" i="88" s="1"/>
  <c r="Q190" i="88" s="1"/>
  <c r="N190" i="88"/>
  <c r="AO189" i="88"/>
  <c r="AL189" i="88"/>
  <c r="AH189" i="88"/>
  <c r="AB189" i="88"/>
  <c r="X189" i="88"/>
  <c r="W189" i="88"/>
  <c r="R189" i="88"/>
  <c r="S189" i="88" s="1"/>
  <c r="T189" i="88" s="1"/>
  <c r="U189" i="88" s="1"/>
  <c r="O189" i="88"/>
  <c r="P189" i="88" s="1"/>
  <c r="Q189" i="88" s="1"/>
  <c r="N189" i="88"/>
  <c r="AO188" i="88"/>
  <c r="AL188" i="88"/>
  <c r="AH188" i="88"/>
  <c r="AB188" i="88"/>
  <c r="X188" i="88"/>
  <c r="W188" i="88"/>
  <c r="R188" i="88"/>
  <c r="S188" i="88" s="1"/>
  <c r="T188" i="88" s="1"/>
  <c r="U188" i="88" s="1"/>
  <c r="O188" i="88"/>
  <c r="P188" i="88" s="1"/>
  <c r="Q188" i="88" s="1"/>
  <c r="N188" i="88"/>
  <c r="AO187" i="88"/>
  <c r="AL187" i="88"/>
  <c r="AH187" i="88"/>
  <c r="AB187" i="88"/>
  <c r="X187" i="88"/>
  <c r="W187" i="88"/>
  <c r="R187" i="88"/>
  <c r="S187" i="88" s="1"/>
  <c r="T187" i="88" s="1"/>
  <c r="U187" i="88" s="1"/>
  <c r="O187" i="88"/>
  <c r="P187" i="88" s="1"/>
  <c r="Q187" i="88" s="1"/>
  <c r="N187" i="88"/>
  <c r="AO186" i="88"/>
  <c r="AL186" i="88"/>
  <c r="AH186" i="88"/>
  <c r="AB186" i="88"/>
  <c r="X186" i="88"/>
  <c r="W186" i="88"/>
  <c r="R186" i="88"/>
  <c r="S186" i="88" s="1"/>
  <c r="T186" i="88" s="1"/>
  <c r="U186" i="88" s="1"/>
  <c r="O186" i="88"/>
  <c r="P186" i="88" s="1"/>
  <c r="Q186" i="88" s="1"/>
  <c r="N186" i="88"/>
  <c r="AO185" i="88"/>
  <c r="AL185" i="88"/>
  <c r="AH185" i="88"/>
  <c r="AB185" i="88"/>
  <c r="X185" i="88"/>
  <c r="W185" i="88"/>
  <c r="R185" i="88"/>
  <c r="S185" i="88" s="1"/>
  <c r="T185" i="88" s="1"/>
  <c r="U185" i="88" s="1"/>
  <c r="O185" i="88"/>
  <c r="P185" i="88" s="1"/>
  <c r="Q185" i="88" s="1"/>
  <c r="N185" i="88"/>
  <c r="AO184" i="88"/>
  <c r="AL184" i="88"/>
  <c r="AH184" i="88"/>
  <c r="AB184" i="88"/>
  <c r="X184" i="88"/>
  <c r="W184" i="88"/>
  <c r="R184" i="88"/>
  <c r="S184" i="88" s="1"/>
  <c r="T184" i="88" s="1"/>
  <c r="U184" i="88" s="1"/>
  <c r="O184" i="88"/>
  <c r="P184" i="88" s="1"/>
  <c r="Q184" i="88" s="1"/>
  <c r="N184" i="88"/>
  <c r="AO183" i="88"/>
  <c r="AL183" i="88"/>
  <c r="AH183" i="88"/>
  <c r="AB183" i="88"/>
  <c r="X183" i="88"/>
  <c r="W183" i="88"/>
  <c r="R183" i="88"/>
  <c r="S183" i="88" s="1"/>
  <c r="T183" i="88" s="1"/>
  <c r="U183" i="88" s="1"/>
  <c r="O183" i="88"/>
  <c r="P183" i="88" s="1"/>
  <c r="Q183" i="88" s="1"/>
  <c r="N183" i="88"/>
  <c r="AO182" i="88"/>
  <c r="AL182" i="88"/>
  <c r="AH182" i="88"/>
  <c r="AB182" i="88"/>
  <c r="X182" i="88"/>
  <c r="W182" i="88"/>
  <c r="R182" i="88"/>
  <c r="S182" i="88" s="1"/>
  <c r="T182" i="88" s="1"/>
  <c r="U182" i="88" s="1"/>
  <c r="O182" i="88"/>
  <c r="P182" i="88" s="1"/>
  <c r="Q182" i="88" s="1"/>
  <c r="N182" i="88"/>
  <c r="AO181" i="88"/>
  <c r="AL181" i="88"/>
  <c r="AH181" i="88"/>
  <c r="AB181" i="88"/>
  <c r="X181" i="88"/>
  <c r="W181" i="88"/>
  <c r="R181" i="88"/>
  <c r="S181" i="88" s="1"/>
  <c r="T181" i="88" s="1"/>
  <c r="U181" i="88" s="1"/>
  <c r="O181" i="88"/>
  <c r="P181" i="88" s="1"/>
  <c r="Q181" i="88" s="1"/>
  <c r="N181" i="88"/>
  <c r="AO180" i="88"/>
  <c r="AL180" i="88"/>
  <c r="AH180" i="88"/>
  <c r="AB180" i="88"/>
  <c r="X180" i="88"/>
  <c r="W180" i="88"/>
  <c r="R180" i="88"/>
  <c r="S180" i="88" s="1"/>
  <c r="T180" i="88" s="1"/>
  <c r="U180" i="88" s="1"/>
  <c r="O180" i="88"/>
  <c r="P180" i="88" s="1"/>
  <c r="Q180" i="88" s="1"/>
  <c r="N180" i="88"/>
  <c r="AO179" i="88"/>
  <c r="AL179" i="88"/>
  <c r="AH179" i="88"/>
  <c r="AB179" i="88"/>
  <c r="X179" i="88"/>
  <c r="W179" i="88"/>
  <c r="R179" i="88"/>
  <c r="S179" i="88" s="1"/>
  <c r="T179" i="88" s="1"/>
  <c r="U179" i="88" s="1"/>
  <c r="O179" i="88"/>
  <c r="P179" i="88" s="1"/>
  <c r="Q179" i="88" s="1"/>
  <c r="N179" i="88"/>
  <c r="AO178" i="88"/>
  <c r="AL178" i="88"/>
  <c r="AH178" i="88"/>
  <c r="AB178" i="88"/>
  <c r="X178" i="88"/>
  <c r="W178" i="88"/>
  <c r="R178" i="88"/>
  <c r="S178" i="88" s="1"/>
  <c r="T178" i="88" s="1"/>
  <c r="U178" i="88" s="1"/>
  <c r="O178" i="88"/>
  <c r="P178" i="88" s="1"/>
  <c r="Q178" i="88" s="1"/>
  <c r="N178" i="88"/>
  <c r="AO177" i="88"/>
  <c r="AL177" i="88"/>
  <c r="AH177" i="88"/>
  <c r="AB177" i="88"/>
  <c r="X177" i="88"/>
  <c r="W177" i="88"/>
  <c r="R177" i="88"/>
  <c r="S177" i="88" s="1"/>
  <c r="T177" i="88" s="1"/>
  <c r="U177" i="88" s="1"/>
  <c r="O177" i="88"/>
  <c r="P177" i="88" s="1"/>
  <c r="Q177" i="88" s="1"/>
  <c r="N177" i="88"/>
  <c r="AO176" i="88"/>
  <c r="AL176" i="88"/>
  <c r="AH176" i="88"/>
  <c r="AB176" i="88"/>
  <c r="X176" i="88"/>
  <c r="W176" i="88"/>
  <c r="R176" i="88"/>
  <c r="S176" i="88" s="1"/>
  <c r="T176" i="88" s="1"/>
  <c r="U176" i="88" s="1"/>
  <c r="O176" i="88"/>
  <c r="P176" i="88" s="1"/>
  <c r="Q176" i="88" s="1"/>
  <c r="N176" i="88"/>
  <c r="AO175" i="88"/>
  <c r="AL175" i="88"/>
  <c r="AH175" i="88"/>
  <c r="AB175" i="88"/>
  <c r="X175" i="88"/>
  <c r="W175" i="88"/>
  <c r="R175" i="88"/>
  <c r="S175" i="88" s="1"/>
  <c r="T175" i="88" s="1"/>
  <c r="U175" i="88" s="1"/>
  <c r="O175" i="88"/>
  <c r="P175" i="88" s="1"/>
  <c r="Q175" i="88" s="1"/>
  <c r="N175" i="88"/>
  <c r="AO174" i="88"/>
  <c r="AL174" i="88"/>
  <c r="AH174" i="88"/>
  <c r="AB174" i="88"/>
  <c r="X174" i="88"/>
  <c r="W174" i="88"/>
  <c r="R174" i="88"/>
  <c r="S174" i="88" s="1"/>
  <c r="T174" i="88" s="1"/>
  <c r="U174" i="88" s="1"/>
  <c r="O174" i="88"/>
  <c r="P174" i="88" s="1"/>
  <c r="Q174" i="88" s="1"/>
  <c r="N174" i="88"/>
  <c r="AO173" i="88"/>
  <c r="AL173" i="88"/>
  <c r="AH173" i="88"/>
  <c r="AB173" i="88"/>
  <c r="X173" i="88"/>
  <c r="W173" i="88"/>
  <c r="R173" i="88"/>
  <c r="S173" i="88" s="1"/>
  <c r="T173" i="88" s="1"/>
  <c r="U173" i="88" s="1"/>
  <c r="O173" i="88"/>
  <c r="P173" i="88" s="1"/>
  <c r="Q173" i="88" s="1"/>
  <c r="N173" i="88"/>
  <c r="AO172" i="88"/>
  <c r="AL172" i="88"/>
  <c r="AH172" i="88"/>
  <c r="AB172" i="88"/>
  <c r="X172" i="88"/>
  <c r="W172" i="88"/>
  <c r="R172" i="88"/>
  <c r="S172" i="88" s="1"/>
  <c r="T172" i="88" s="1"/>
  <c r="U172" i="88" s="1"/>
  <c r="O172" i="88"/>
  <c r="P172" i="88" s="1"/>
  <c r="Q172" i="88" s="1"/>
  <c r="N172" i="88"/>
  <c r="AO171" i="88"/>
  <c r="AL171" i="88"/>
  <c r="AH171" i="88"/>
  <c r="AB171" i="88"/>
  <c r="X171" i="88"/>
  <c r="W171" i="88"/>
  <c r="R171" i="88"/>
  <c r="S171" i="88" s="1"/>
  <c r="T171" i="88" s="1"/>
  <c r="U171" i="88" s="1"/>
  <c r="O171" i="88"/>
  <c r="P171" i="88" s="1"/>
  <c r="Q171" i="88" s="1"/>
  <c r="N171" i="88"/>
  <c r="AO170" i="88"/>
  <c r="AL170" i="88"/>
  <c r="AH170" i="88"/>
  <c r="AB170" i="88"/>
  <c r="X170" i="88"/>
  <c r="W170" i="88"/>
  <c r="R170" i="88"/>
  <c r="S170" i="88" s="1"/>
  <c r="T170" i="88" s="1"/>
  <c r="U170" i="88" s="1"/>
  <c r="O170" i="88"/>
  <c r="P170" i="88" s="1"/>
  <c r="Q170" i="88" s="1"/>
  <c r="N170" i="88"/>
  <c r="AO169" i="88"/>
  <c r="AL169" i="88"/>
  <c r="AH169" i="88"/>
  <c r="AB169" i="88"/>
  <c r="X169" i="88"/>
  <c r="W169" i="88"/>
  <c r="R169" i="88"/>
  <c r="S169" i="88" s="1"/>
  <c r="T169" i="88" s="1"/>
  <c r="U169" i="88" s="1"/>
  <c r="O169" i="88"/>
  <c r="P169" i="88" s="1"/>
  <c r="Q169" i="88" s="1"/>
  <c r="N169" i="88"/>
  <c r="AO168" i="88"/>
  <c r="AL168" i="88"/>
  <c r="AH168" i="88"/>
  <c r="AB168" i="88"/>
  <c r="X168" i="88"/>
  <c r="W168" i="88"/>
  <c r="R168" i="88"/>
  <c r="S168" i="88" s="1"/>
  <c r="T168" i="88" s="1"/>
  <c r="U168" i="88" s="1"/>
  <c r="O168" i="88"/>
  <c r="P168" i="88" s="1"/>
  <c r="Q168" i="88" s="1"/>
  <c r="N168" i="88"/>
  <c r="AO167" i="88"/>
  <c r="AL167" i="88"/>
  <c r="AH167" i="88"/>
  <c r="AB167" i="88"/>
  <c r="X167" i="88"/>
  <c r="W167" i="88"/>
  <c r="R167" i="88"/>
  <c r="S167" i="88" s="1"/>
  <c r="T167" i="88" s="1"/>
  <c r="U167" i="88" s="1"/>
  <c r="O167" i="88"/>
  <c r="P167" i="88" s="1"/>
  <c r="Q167" i="88" s="1"/>
  <c r="N167" i="88"/>
  <c r="AO166" i="88"/>
  <c r="AL166" i="88"/>
  <c r="AH166" i="88"/>
  <c r="AB166" i="88"/>
  <c r="X166" i="88"/>
  <c r="W166" i="88"/>
  <c r="R166" i="88"/>
  <c r="S166" i="88" s="1"/>
  <c r="T166" i="88" s="1"/>
  <c r="U166" i="88" s="1"/>
  <c r="O166" i="88"/>
  <c r="P166" i="88" s="1"/>
  <c r="Q166" i="88" s="1"/>
  <c r="N166" i="88"/>
  <c r="AO165" i="88"/>
  <c r="AL165" i="88"/>
  <c r="AH165" i="88"/>
  <c r="AB165" i="88"/>
  <c r="X165" i="88"/>
  <c r="W165" i="88"/>
  <c r="R165" i="88"/>
  <c r="S165" i="88" s="1"/>
  <c r="T165" i="88" s="1"/>
  <c r="U165" i="88" s="1"/>
  <c r="O165" i="88"/>
  <c r="P165" i="88" s="1"/>
  <c r="Q165" i="88" s="1"/>
  <c r="N165" i="88"/>
  <c r="AO164" i="88"/>
  <c r="AL164" i="88"/>
  <c r="AH164" i="88"/>
  <c r="AB164" i="88"/>
  <c r="X164" i="88"/>
  <c r="W164" i="88"/>
  <c r="R164" i="88"/>
  <c r="S164" i="88" s="1"/>
  <c r="T164" i="88" s="1"/>
  <c r="U164" i="88" s="1"/>
  <c r="O164" i="88"/>
  <c r="P164" i="88" s="1"/>
  <c r="Q164" i="88" s="1"/>
  <c r="N164" i="88"/>
  <c r="AO163" i="88"/>
  <c r="AL163" i="88"/>
  <c r="AH163" i="88"/>
  <c r="AB163" i="88"/>
  <c r="X163" i="88"/>
  <c r="W163" i="88"/>
  <c r="R163" i="88"/>
  <c r="S163" i="88" s="1"/>
  <c r="T163" i="88" s="1"/>
  <c r="U163" i="88" s="1"/>
  <c r="O163" i="88"/>
  <c r="P163" i="88" s="1"/>
  <c r="Q163" i="88" s="1"/>
  <c r="N163" i="88"/>
  <c r="AO162" i="88"/>
  <c r="AL162" i="88"/>
  <c r="AH162" i="88"/>
  <c r="AB162" i="88"/>
  <c r="X162" i="88"/>
  <c r="W162" i="88"/>
  <c r="R162" i="88"/>
  <c r="S162" i="88" s="1"/>
  <c r="T162" i="88" s="1"/>
  <c r="U162" i="88" s="1"/>
  <c r="O162" i="88"/>
  <c r="P162" i="88" s="1"/>
  <c r="Q162" i="88" s="1"/>
  <c r="N162" i="88"/>
  <c r="AO161" i="88"/>
  <c r="AL161" i="88"/>
  <c r="AH161" i="88"/>
  <c r="AB161" i="88"/>
  <c r="X161" i="88"/>
  <c r="W161" i="88"/>
  <c r="R161" i="88"/>
  <c r="S161" i="88" s="1"/>
  <c r="T161" i="88" s="1"/>
  <c r="U161" i="88" s="1"/>
  <c r="O161" i="88"/>
  <c r="P161" i="88" s="1"/>
  <c r="Q161" i="88" s="1"/>
  <c r="N161" i="88"/>
  <c r="AO160" i="88"/>
  <c r="AL160" i="88"/>
  <c r="AH160" i="88"/>
  <c r="AB160" i="88"/>
  <c r="X160" i="88"/>
  <c r="W160" i="88"/>
  <c r="R160" i="88"/>
  <c r="S160" i="88" s="1"/>
  <c r="T160" i="88" s="1"/>
  <c r="U160" i="88" s="1"/>
  <c r="O160" i="88"/>
  <c r="P160" i="88" s="1"/>
  <c r="Q160" i="88" s="1"/>
  <c r="N160" i="88"/>
  <c r="AO159" i="88"/>
  <c r="AL159" i="88"/>
  <c r="AH159" i="88"/>
  <c r="AB159" i="88"/>
  <c r="X159" i="88"/>
  <c r="W159" i="88"/>
  <c r="R159" i="88"/>
  <c r="S159" i="88" s="1"/>
  <c r="T159" i="88" s="1"/>
  <c r="U159" i="88" s="1"/>
  <c r="O159" i="88"/>
  <c r="P159" i="88" s="1"/>
  <c r="Q159" i="88" s="1"/>
  <c r="N159" i="88"/>
  <c r="AO158" i="88"/>
  <c r="AL158" i="88"/>
  <c r="AH158" i="88"/>
  <c r="AB158" i="88"/>
  <c r="X158" i="88"/>
  <c r="W158" i="88"/>
  <c r="R158" i="88"/>
  <c r="S158" i="88" s="1"/>
  <c r="T158" i="88" s="1"/>
  <c r="U158" i="88" s="1"/>
  <c r="O158" i="88"/>
  <c r="P158" i="88" s="1"/>
  <c r="Q158" i="88" s="1"/>
  <c r="N158" i="88"/>
  <c r="AO157" i="88"/>
  <c r="AL157" i="88"/>
  <c r="AH157" i="88"/>
  <c r="AB157" i="88"/>
  <c r="X157" i="88"/>
  <c r="W157" i="88"/>
  <c r="R157" i="88"/>
  <c r="S157" i="88" s="1"/>
  <c r="T157" i="88" s="1"/>
  <c r="U157" i="88" s="1"/>
  <c r="O157" i="88"/>
  <c r="P157" i="88" s="1"/>
  <c r="Q157" i="88" s="1"/>
  <c r="N157" i="88"/>
  <c r="AO156" i="88"/>
  <c r="AL156" i="88"/>
  <c r="AH156" i="88"/>
  <c r="AB156" i="88"/>
  <c r="X156" i="88"/>
  <c r="W156" i="88"/>
  <c r="R156" i="88"/>
  <c r="S156" i="88" s="1"/>
  <c r="T156" i="88" s="1"/>
  <c r="U156" i="88" s="1"/>
  <c r="O156" i="88"/>
  <c r="P156" i="88" s="1"/>
  <c r="Q156" i="88" s="1"/>
  <c r="N156" i="88"/>
  <c r="AO155" i="88"/>
  <c r="AL155" i="88"/>
  <c r="AH155" i="88"/>
  <c r="AB155" i="88"/>
  <c r="X155" i="88"/>
  <c r="W155" i="88"/>
  <c r="R155" i="88"/>
  <c r="S155" i="88" s="1"/>
  <c r="T155" i="88" s="1"/>
  <c r="U155" i="88" s="1"/>
  <c r="O155" i="88"/>
  <c r="P155" i="88" s="1"/>
  <c r="Q155" i="88" s="1"/>
  <c r="N155" i="88"/>
  <c r="AO154" i="88"/>
  <c r="AL154" i="88"/>
  <c r="AH154" i="88"/>
  <c r="AB154" i="88"/>
  <c r="X154" i="88"/>
  <c r="W154" i="88"/>
  <c r="R154" i="88"/>
  <c r="S154" i="88" s="1"/>
  <c r="T154" i="88" s="1"/>
  <c r="U154" i="88" s="1"/>
  <c r="O154" i="88"/>
  <c r="P154" i="88" s="1"/>
  <c r="Q154" i="88" s="1"/>
  <c r="N154" i="88"/>
  <c r="AO153" i="88"/>
  <c r="AL153" i="88"/>
  <c r="AH153" i="88"/>
  <c r="AB153" i="88"/>
  <c r="X153" i="88"/>
  <c r="W153" i="88"/>
  <c r="R153" i="88"/>
  <c r="S153" i="88" s="1"/>
  <c r="T153" i="88" s="1"/>
  <c r="U153" i="88" s="1"/>
  <c r="O153" i="88"/>
  <c r="P153" i="88" s="1"/>
  <c r="Q153" i="88" s="1"/>
  <c r="N153" i="88"/>
  <c r="AO152" i="88"/>
  <c r="AL152" i="88"/>
  <c r="AH152" i="88"/>
  <c r="AB152" i="88"/>
  <c r="X152" i="88"/>
  <c r="W152" i="88"/>
  <c r="R152" i="88"/>
  <c r="S152" i="88" s="1"/>
  <c r="T152" i="88" s="1"/>
  <c r="U152" i="88" s="1"/>
  <c r="O152" i="88"/>
  <c r="P152" i="88" s="1"/>
  <c r="Q152" i="88" s="1"/>
  <c r="N152" i="88"/>
  <c r="AO151" i="88"/>
  <c r="AL151" i="88"/>
  <c r="AH151" i="88"/>
  <c r="AB151" i="88"/>
  <c r="X151" i="88"/>
  <c r="W151" i="88"/>
  <c r="R151" i="88"/>
  <c r="S151" i="88" s="1"/>
  <c r="T151" i="88" s="1"/>
  <c r="U151" i="88" s="1"/>
  <c r="O151" i="88"/>
  <c r="P151" i="88" s="1"/>
  <c r="Q151" i="88" s="1"/>
  <c r="N151" i="88"/>
  <c r="AO150" i="88"/>
  <c r="AL150" i="88"/>
  <c r="AH150" i="88"/>
  <c r="AB150" i="88"/>
  <c r="X150" i="88"/>
  <c r="W150" i="88"/>
  <c r="R150" i="88"/>
  <c r="S150" i="88" s="1"/>
  <c r="T150" i="88" s="1"/>
  <c r="U150" i="88" s="1"/>
  <c r="O150" i="88"/>
  <c r="P150" i="88" s="1"/>
  <c r="Q150" i="88" s="1"/>
  <c r="N150" i="88"/>
  <c r="AO149" i="88"/>
  <c r="AL149" i="88"/>
  <c r="AH149" i="88"/>
  <c r="AB149" i="88"/>
  <c r="X149" i="88"/>
  <c r="W149" i="88"/>
  <c r="R149" i="88"/>
  <c r="S149" i="88" s="1"/>
  <c r="T149" i="88" s="1"/>
  <c r="U149" i="88" s="1"/>
  <c r="O149" i="88"/>
  <c r="P149" i="88" s="1"/>
  <c r="Q149" i="88" s="1"/>
  <c r="N149" i="88"/>
  <c r="AO148" i="88"/>
  <c r="AL148" i="88"/>
  <c r="AH148" i="88"/>
  <c r="AB148" i="88"/>
  <c r="X148" i="88"/>
  <c r="W148" i="88"/>
  <c r="R148" i="88"/>
  <c r="S148" i="88" s="1"/>
  <c r="T148" i="88" s="1"/>
  <c r="U148" i="88" s="1"/>
  <c r="O148" i="88"/>
  <c r="P148" i="88" s="1"/>
  <c r="Q148" i="88" s="1"/>
  <c r="N148" i="88"/>
  <c r="AO147" i="88"/>
  <c r="AL147" i="88"/>
  <c r="AH147" i="88"/>
  <c r="AB147" i="88"/>
  <c r="X147" i="88"/>
  <c r="W147" i="88"/>
  <c r="R147" i="88"/>
  <c r="S147" i="88" s="1"/>
  <c r="T147" i="88" s="1"/>
  <c r="U147" i="88" s="1"/>
  <c r="O147" i="88"/>
  <c r="P147" i="88" s="1"/>
  <c r="Q147" i="88" s="1"/>
  <c r="N147" i="88"/>
  <c r="AO146" i="88"/>
  <c r="AL146" i="88"/>
  <c r="AH146" i="88"/>
  <c r="AB146" i="88"/>
  <c r="X146" i="88"/>
  <c r="W146" i="88"/>
  <c r="R146" i="88"/>
  <c r="S146" i="88" s="1"/>
  <c r="T146" i="88" s="1"/>
  <c r="U146" i="88" s="1"/>
  <c r="O146" i="88"/>
  <c r="P146" i="88" s="1"/>
  <c r="Q146" i="88" s="1"/>
  <c r="N146" i="88"/>
  <c r="AO145" i="88"/>
  <c r="AL145" i="88"/>
  <c r="AH145" i="88"/>
  <c r="AB145" i="88"/>
  <c r="X145" i="88"/>
  <c r="W145" i="88"/>
  <c r="R145" i="88"/>
  <c r="S145" i="88" s="1"/>
  <c r="T145" i="88" s="1"/>
  <c r="U145" i="88" s="1"/>
  <c r="O145" i="88"/>
  <c r="P145" i="88" s="1"/>
  <c r="Q145" i="88" s="1"/>
  <c r="N145" i="88"/>
  <c r="AO144" i="88"/>
  <c r="AL144" i="88"/>
  <c r="AH144" i="88"/>
  <c r="AB144" i="88"/>
  <c r="X144" i="88"/>
  <c r="W144" i="88"/>
  <c r="R144" i="88"/>
  <c r="S144" i="88" s="1"/>
  <c r="T144" i="88" s="1"/>
  <c r="U144" i="88" s="1"/>
  <c r="O144" i="88"/>
  <c r="P144" i="88" s="1"/>
  <c r="Q144" i="88" s="1"/>
  <c r="N144" i="88"/>
  <c r="AO143" i="88"/>
  <c r="AL143" i="88"/>
  <c r="AH143" i="88"/>
  <c r="AB143" i="88"/>
  <c r="X143" i="88"/>
  <c r="W143" i="88"/>
  <c r="R143" i="88"/>
  <c r="S143" i="88" s="1"/>
  <c r="T143" i="88" s="1"/>
  <c r="U143" i="88" s="1"/>
  <c r="O143" i="88"/>
  <c r="P143" i="88" s="1"/>
  <c r="Q143" i="88" s="1"/>
  <c r="N143" i="88"/>
  <c r="AO142" i="88"/>
  <c r="AL142" i="88"/>
  <c r="AH142" i="88"/>
  <c r="AB142" i="88"/>
  <c r="X142" i="88"/>
  <c r="W142" i="88"/>
  <c r="R142" i="88"/>
  <c r="S142" i="88" s="1"/>
  <c r="T142" i="88" s="1"/>
  <c r="U142" i="88" s="1"/>
  <c r="O142" i="88"/>
  <c r="P142" i="88" s="1"/>
  <c r="Q142" i="88" s="1"/>
  <c r="N142" i="88"/>
  <c r="AO141" i="88"/>
  <c r="AL141" i="88"/>
  <c r="AH141" i="88"/>
  <c r="AB141" i="88"/>
  <c r="X141" i="88"/>
  <c r="W141" i="88"/>
  <c r="R141" i="88"/>
  <c r="S141" i="88" s="1"/>
  <c r="T141" i="88" s="1"/>
  <c r="U141" i="88" s="1"/>
  <c r="O141" i="88"/>
  <c r="P141" i="88" s="1"/>
  <c r="Q141" i="88" s="1"/>
  <c r="N141" i="88"/>
  <c r="AO140" i="88"/>
  <c r="AL140" i="88"/>
  <c r="AH140" i="88"/>
  <c r="AB140" i="88"/>
  <c r="X140" i="88"/>
  <c r="W140" i="88"/>
  <c r="R140" i="88"/>
  <c r="S140" i="88" s="1"/>
  <c r="T140" i="88" s="1"/>
  <c r="U140" i="88" s="1"/>
  <c r="O140" i="88"/>
  <c r="P140" i="88" s="1"/>
  <c r="Q140" i="88" s="1"/>
  <c r="N140" i="88"/>
  <c r="AO139" i="88"/>
  <c r="AL139" i="88"/>
  <c r="AH139" i="88"/>
  <c r="AB139" i="88"/>
  <c r="X139" i="88"/>
  <c r="W139" i="88"/>
  <c r="R139" i="88"/>
  <c r="S139" i="88" s="1"/>
  <c r="T139" i="88" s="1"/>
  <c r="U139" i="88" s="1"/>
  <c r="O139" i="88"/>
  <c r="P139" i="88" s="1"/>
  <c r="Q139" i="88" s="1"/>
  <c r="N139" i="88"/>
  <c r="AO138" i="88"/>
  <c r="AL138" i="88"/>
  <c r="AH138" i="88"/>
  <c r="AB138" i="88"/>
  <c r="X138" i="88"/>
  <c r="W138" i="88"/>
  <c r="R138" i="88"/>
  <c r="S138" i="88" s="1"/>
  <c r="T138" i="88" s="1"/>
  <c r="U138" i="88" s="1"/>
  <c r="O138" i="88"/>
  <c r="P138" i="88" s="1"/>
  <c r="Q138" i="88" s="1"/>
  <c r="N138" i="88"/>
  <c r="AO137" i="88"/>
  <c r="AL137" i="88"/>
  <c r="AH137" i="88"/>
  <c r="AB137" i="88"/>
  <c r="X137" i="88"/>
  <c r="W137" i="88"/>
  <c r="R137" i="88"/>
  <c r="S137" i="88" s="1"/>
  <c r="T137" i="88" s="1"/>
  <c r="U137" i="88" s="1"/>
  <c r="O137" i="88"/>
  <c r="P137" i="88" s="1"/>
  <c r="Q137" i="88" s="1"/>
  <c r="N137" i="88"/>
  <c r="AO136" i="88"/>
  <c r="AL136" i="88"/>
  <c r="AH136" i="88"/>
  <c r="AB136" i="88"/>
  <c r="X136" i="88"/>
  <c r="W136" i="88"/>
  <c r="R136" i="88"/>
  <c r="S136" i="88" s="1"/>
  <c r="T136" i="88" s="1"/>
  <c r="U136" i="88" s="1"/>
  <c r="O136" i="88"/>
  <c r="P136" i="88" s="1"/>
  <c r="Q136" i="88" s="1"/>
  <c r="N136" i="88"/>
  <c r="AO135" i="88"/>
  <c r="AL135" i="88"/>
  <c r="AH135" i="88"/>
  <c r="AB135" i="88"/>
  <c r="X135" i="88"/>
  <c r="W135" i="88"/>
  <c r="R135" i="88"/>
  <c r="S135" i="88" s="1"/>
  <c r="T135" i="88" s="1"/>
  <c r="U135" i="88" s="1"/>
  <c r="O135" i="88"/>
  <c r="P135" i="88" s="1"/>
  <c r="Q135" i="88" s="1"/>
  <c r="N135" i="88"/>
  <c r="AO134" i="88"/>
  <c r="AL134" i="88"/>
  <c r="AH134" i="88"/>
  <c r="AB134" i="88"/>
  <c r="X134" i="88"/>
  <c r="W134" i="88"/>
  <c r="R134" i="88"/>
  <c r="S134" i="88" s="1"/>
  <c r="T134" i="88" s="1"/>
  <c r="U134" i="88" s="1"/>
  <c r="O134" i="88"/>
  <c r="P134" i="88" s="1"/>
  <c r="Q134" i="88" s="1"/>
  <c r="N134" i="88"/>
  <c r="AO133" i="88"/>
  <c r="AL133" i="88"/>
  <c r="AH133" i="88"/>
  <c r="AB133" i="88"/>
  <c r="X133" i="88"/>
  <c r="W133" i="88"/>
  <c r="R133" i="88"/>
  <c r="S133" i="88" s="1"/>
  <c r="T133" i="88" s="1"/>
  <c r="U133" i="88" s="1"/>
  <c r="O133" i="88"/>
  <c r="P133" i="88" s="1"/>
  <c r="Q133" i="88" s="1"/>
  <c r="N133" i="88"/>
  <c r="AO132" i="88"/>
  <c r="AL132" i="88"/>
  <c r="AH132" i="88"/>
  <c r="AB132" i="88"/>
  <c r="X132" i="88"/>
  <c r="W132" i="88"/>
  <c r="R132" i="88"/>
  <c r="S132" i="88" s="1"/>
  <c r="T132" i="88" s="1"/>
  <c r="U132" i="88" s="1"/>
  <c r="O132" i="88"/>
  <c r="P132" i="88" s="1"/>
  <c r="Q132" i="88" s="1"/>
  <c r="N132" i="88"/>
  <c r="AO131" i="88"/>
  <c r="AL131" i="88"/>
  <c r="AH131" i="88"/>
  <c r="AB131" i="88"/>
  <c r="X131" i="88"/>
  <c r="W131" i="88"/>
  <c r="R131" i="88"/>
  <c r="S131" i="88" s="1"/>
  <c r="T131" i="88" s="1"/>
  <c r="U131" i="88" s="1"/>
  <c r="O131" i="88"/>
  <c r="P131" i="88" s="1"/>
  <c r="Q131" i="88" s="1"/>
  <c r="N131" i="88"/>
  <c r="AO130" i="88"/>
  <c r="AL130" i="88"/>
  <c r="AH130" i="88"/>
  <c r="AB130" i="88"/>
  <c r="X130" i="88"/>
  <c r="W130" i="88"/>
  <c r="R130" i="88"/>
  <c r="S130" i="88" s="1"/>
  <c r="T130" i="88" s="1"/>
  <c r="U130" i="88" s="1"/>
  <c r="O130" i="88"/>
  <c r="P130" i="88" s="1"/>
  <c r="Q130" i="88" s="1"/>
  <c r="N130" i="88"/>
  <c r="AO129" i="88"/>
  <c r="AL129" i="88"/>
  <c r="AH129" i="88"/>
  <c r="AB129" i="88"/>
  <c r="X129" i="88"/>
  <c r="W129" i="88"/>
  <c r="R129" i="88"/>
  <c r="S129" i="88" s="1"/>
  <c r="T129" i="88" s="1"/>
  <c r="U129" i="88" s="1"/>
  <c r="O129" i="88"/>
  <c r="P129" i="88" s="1"/>
  <c r="Q129" i="88" s="1"/>
  <c r="N129" i="88"/>
  <c r="AO128" i="88"/>
  <c r="AL128" i="88"/>
  <c r="AH128" i="88"/>
  <c r="AB128" i="88"/>
  <c r="X128" i="88"/>
  <c r="W128" i="88"/>
  <c r="R128" i="88"/>
  <c r="S128" i="88" s="1"/>
  <c r="T128" i="88" s="1"/>
  <c r="U128" i="88" s="1"/>
  <c r="O128" i="88"/>
  <c r="P128" i="88" s="1"/>
  <c r="Q128" i="88" s="1"/>
  <c r="N128" i="88"/>
  <c r="AO127" i="88"/>
  <c r="AL127" i="88"/>
  <c r="AH127" i="88"/>
  <c r="AB127" i="88"/>
  <c r="X127" i="88"/>
  <c r="W127" i="88"/>
  <c r="R127" i="88"/>
  <c r="S127" i="88" s="1"/>
  <c r="T127" i="88" s="1"/>
  <c r="U127" i="88" s="1"/>
  <c r="O127" i="88"/>
  <c r="P127" i="88" s="1"/>
  <c r="Q127" i="88" s="1"/>
  <c r="N127" i="88"/>
  <c r="AO126" i="88"/>
  <c r="AL126" i="88"/>
  <c r="AH126" i="88"/>
  <c r="AB126" i="88"/>
  <c r="X126" i="88"/>
  <c r="W126" i="88"/>
  <c r="R126" i="88"/>
  <c r="S126" i="88" s="1"/>
  <c r="T126" i="88" s="1"/>
  <c r="U126" i="88" s="1"/>
  <c r="O126" i="88"/>
  <c r="P126" i="88" s="1"/>
  <c r="Q126" i="88" s="1"/>
  <c r="N126" i="88"/>
  <c r="AO125" i="88"/>
  <c r="AL125" i="88"/>
  <c r="AH125" i="88"/>
  <c r="AB125" i="88"/>
  <c r="X125" i="88"/>
  <c r="W125" i="88"/>
  <c r="R125" i="88"/>
  <c r="S125" i="88" s="1"/>
  <c r="T125" i="88" s="1"/>
  <c r="U125" i="88" s="1"/>
  <c r="O125" i="88"/>
  <c r="P125" i="88" s="1"/>
  <c r="Q125" i="88" s="1"/>
  <c r="N125" i="88"/>
  <c r="AO124" i="88"/>
  <c r="AL124" i="88"/>
  <c r="AH124" i="88"/>
  <c r="AB124" i="88"/>
  <c r="X124" i="88"/>
  <c r="W124" i="88"/>
  <c r="R124" i="88"/>
  <c r="S124" i="88" s="1"/>
  <c r="T124" i="88" s="1"/>
  <c r="U124" i="88" s="1"/>
  <c r="O124" i="88"/>
  <c r="P124" i="88" s="1"/>
  <c r="Q124" i="88" s="1"/>
  <c r="N124" i="88"/>
  <c r="AO123" i="88"/>
  <c r="AL123" i="88"/>
  <c r="AH123" i="88"/>
  <c r="AB123" i="88"/>
  <c r="X123" i="88"/>
  <c r="W123" i="88"/>
  <c r="R123" i="88"/>
  <c r="S123" i="88" s="1"/>
  <c r="T123" i="88" s="1"/>
  <c r="U123" i="88" s="1"/>
  <c r="O123" i="88"/>
  <c r="P123" i="88" s="1"/>
  <c r="Q123" i="88" s="1"/>
  <c r="N123" i="88"/>
  <c r="AO122" i="88"/>
  <c r="AL122" i="88"/>
  <c r="AH122" i="88"/>
  <c r="AB122" i="88"/>
  <c r="X122" i="88"/>
  <c r="W122" i="88"/>
  <c r="R122" i="88"/>
  <c r="S122" i="88" s="1"/>
  <c r="T122" i="88" s="1"/>
  <c r="U122" i="88" s="1"/>
  <c r="O122" i="88"/>
  <c r="P122" i="88" s="1"/>
  <c r="Q122" i="88" s="1"/>
  <c r="N122" i="88"/>
  <c r="AO121" i="88"/>
  <c r="AL121" i="88"/>
  <c r="AH121" i="88"/>
  <c r="AB121" i="88"/>
  <c r="X121" i="88"/>
  <c r="W121" i="88"/>
  <c r="R121" i="88"/>
  <c r="S121" i="88" s="1"/>
  <c r="T121" i="88" s="1"/>
  <c r="U121" i="88" s="1"/>
  <c r="O121" i="88"/>
  <c r="P121" i="88" s="1"/>
  <c r="Q121" i="88" s="1"/>
  <c r="N121" i="88"/>
  <c r="AO120" i="88"/>
  <c r="AL120" i="88"/>
  <c r="AH120" i="88"/>
  <c r="AB120" i="88"/>
  <c r="X120" i="88"/>
  <c r="W120" i="88"/>
  <c r="R120" i="88"/>
  <c r="S120" i="88" s="1"/>
  <c r="T120" i="88" s="1"/>
  <c r="U120" i="88" s="1"/>
  <c r="O120" i="88"/>
  <c r="P120" i="88" s="1"/>
  <c r="Q120" i="88" s="1"/>
  <c r="N120" i="88"/>
  <c r="AO119" i="88"/>
  <c r="AL119" i="88"/>
  <c r="AH119" i="88"/>
  <c r="AB119" i="88"/>
  <c r="X119" i="88"/>
  <c r="W119" i="88"/>
  <c r="R119" i="88"/>
  <c r="S119" i="88" s="1"/>
  <c r="T119" i="88" s="1"/>
  <c r="U119" i="88" s="1"/>
  <c r="O119" i="88"/>
  <c r="P119" i="88" s="1"/>
  <c r="Q119" i="88" s="1"/>
  <c r="N119" i="88"/>
  <c r="AO118" i="88"/>
  <c r="AL118" i="88"/>
  <c r="AH118" i="88"/>
  <c r="AB118" i="88"/>
  <c r="X118" i="88"/>
  <c r="W118" i="88"/>
  <c r="R118" i="88"/>
  <c r="S118" i="88" s="1"/>
  <c r="T118" i="88" s="1"/>
  <c r="U118" i="88" s="1"/>
  <c r="O118" i="88"/>
  <c r="P118" i="88" s="1"/>
  <c r="Q118" i="88" s="1"/>
  <c r="N118" i="88"/>
  <c r="AO117" i="88"/>
  <c r="AL117" i="88"/>
  <c r="AH117" i="88"/>
  <c r="AB117" i="88"/>
  <c r="X117" i="88"/>
  <c r="W117" i="88"/>
  <c r="R117" i="88"/>
  <c r="S117" i="88" s="1"/>
  <c r="T117" i="88" s="1"/>
  <c r="U117" i="88" s="1"/>
  <c r="O117" i="88"/>
  <c r="P117" i="88" s="1"/>
  <c r="Q117" i="88" s="1"/>
  <c r="N117" i="88"/>
  <c r="AO116" i="88"/>
  <c r="AL116" i="88"/>
  <c r="AH116" i="88"/>
  <c r="AB116" i="88"/>
  <c r="X116" i="88"/>
  <c r="W116" i="88"/>
  <c r="R116" i="88"/>
  <c r="S116" i="88" s="1"/>
  <c r="T116" i="88" s="1"/>
  <c r="U116" i="88" s="1"/>
  <c r="O116" i="88"/>
  <c r="P116" i="88" s="1"/>
  <c r="Q116" i="88" s="1"/>
  <c r="N116" i="88"/>
  <c r="AO115" i="88"/>
  <c r="AL115" i="88"/>
  <c r="AH115" i="88"/>
  <c r="AB115" i="88"/>
  <c r="X115" i="88"/>
  <c r="W115" i="88"/>
  <c r="R115" i="88"/>
  <c r="S115" i="88" s="1"/>
  <c r="T115" i="88" s="1"/>
  <c r="U115" i="88" s="1"/>
  <c r="O115" i="88"/>
  <c r="P115" i="88" s="1"/>
  <c r="Q115" i="88" s="1"/>
  <c r="N115" i="88"/>
  <c r="AO114" i="88"/>
  <c r="AL114" i="88"/>
  <c r="AH114" i="88"/>
  <c r="AB114" i="88"/>
  <c r="X114" i="88"/>
  <c r="W114" i="88"/>
  <c r="R114" i="88"/>
  <c r="S114" i="88" s="1"/>
  <c r="T114" i="88" s="1"/>
  <c r="U114" i="88" s="1"/>
  <c r="O114" i="88"/>
  <c r="P114" i="88" s="1"/>
  <c r="Q114" i="88" s="1"/>
  <c r="N114" i="88"/>
  <c r="AO113" i="88"/>
  <c r="AL113" i="88"/>
  <c r="AH113" i="88"/>
  <c r="AB113" i="88"/>
  <c r="X113" i="88"/>
  <c r="W113" i="88"/>
  <c r="R113" i="88"/>
  <c r="S113" i="88" s="1"/>
  <c r="T113" i="88" s="1"/>
  <c r="U113" i="88" s="1"/>
  <c r="O113" i="88"/>
  <c r="P113" i="88" s="1"/>
  <c r="Q113" i="88" s="1"/>
  <c r="N113" i="88"/>
  <c r="AO112" i="88"/>
  <c r="AL112" i="88"/>
  <c r="AH112" i="88"/>
  <c r="AB112" i="88"/>
  <c r="X112" i="88"/>
  <c r="W112" i="88"/>
  <c r="R112" i="88"/>
  <c r="S112" i="88" s="1"/>
  <c r="T112" i="88" s="1"/>
  <c r="U112" i="88" s="1"/>
  <c r="O112" i="88"/>
  <c r="P112" i="88" s="1"/>
  <c r="Q112" i="88" s="1"/>
  <c r="N112" i="88"/>
  <c r="AO111" i="88"/>
  <c r="AL111" i="88"/>
  <c r="AH111" i="88"/>
  <c r="AB111" i="88"/>
  <c r="X111" i="88"/>
  <c r="W111" i="88"/>
  <c r="R111" i="88"/>
  <c r="S111" i="88" s="1"/>
  <c r="T111" i="88" s="1"/>
  <c r="U111" i="88" s="1"/>
  <c r="O111" i="88"/>
  <c r="P111" i="88" s="1"/>
  <c r="Q111" i="88" s="1"/>
  <c r="N111" i="88"/>
  <c r="AO110" i="88"/>
  <c r="AL110" i="88"/>
  <c r="AH110" i="88"/>
  <c r="AB110" i="88"/>
  <c r="X110" i="88"/>
  <c r="W110" i="88"/>
  <c r="R110" i="88"/>
  <c r="S110" i="88" s="1"/>
  <c r="T110" i="88" s="1"/>
  <c r="U110" i="88" s="1"/>
  <c r="O110" i="88"/>
  <c r="P110" i="88" s="1"/>
  <c r="Q110" i="88" s="1"/>
  <c r="N110" i="88"/>
  <c r="AO109" i="88"/>
  <c r="AL109" i="88"/>
  <c r="AH109" i="88"/>
  <c r="AB109" i="88"/>
  <c r="X109" i="88"/>
  <c r="W109" i="88"/>
  <c r="R109" i="88"/>
  <c r="S109" i="88" s="1"/>
  <c r="T109" i="88" s="1"/>
  <c r="U109" i="88" s="1"/>
  <c r="O109" i="88"/>
  <c r="P109" i="88" s="1"/>
  <c r="Q109" i="88" s="1"/>
  <c r="N109" i="88"/>
  <c r="AO108" i="88"/>
  <c r="AL108" i="88"/>
  <c r="AH108" i="88"/>
  <c r="AB108" i="88"/>
  <c r="X108" i="88"/>
  <c r="W108" i="88"/>
  <c r="R108" i="88"/>
  <c r="S108" i="88" s="1"/>
  <c r="T108" i="88" s="1"/>
  <c r="U108" i="88" s="1"/>
  <c r="O108" i="88"/>
  <c r="P108" i="88" s="1"/>
  <c r="Q108" i="88" s="1"/>
  <c r="N108" i="88"/>
  <c r="AO107" i="88"/>
  <c r="AL107" i="88"/>
  <c r="AH107" i="88"/>
  <c r="AB107" i="88"/>
  <c r="X107" i="88"/>
  <c r="W107" i="88"/>
  <c r="R107" i="88"/>
  <c r="S107" i="88" s="1"/>
  <c r="T107" i="88" s="1"/>
  <c r="U107" i="88" s="1"/>
  <c r="O107" i="88"/>
  <c r="P107" i="88" s="1"/>
  <c r="Q107" i="88" s="1"/>
  <c r="N107" i="88"/>
  <c r="AO106" i="88"/>
  <c r="AL106" i="88"/>
  <c r="AH106" i="88"/>
  <c r="AB106" i="88"/>
  <c r="X106" i="88"/>
  <c r="W106" i="88"/>
  <c r="R106" i="88"/>
  <c r="S106" i="88" s="1"/>
  <c r="T106" i="88" s="1"/>
  <c r="U106" i="88" s="1"/>
  <c r="O106" i="88"/>
  <c r="P106" i="88" s="1"/>
  <c r="Q106" i="88" s="1"/>
  <c r="N106" i="88"/>
  <c r="AO105" i="88"/>
  <c r="AL105" i="88"/>
  <c r="AH105" i="88"/>
  <c r="AB105" i="88"/>
  <c r="X105" i="88"/>
  <c r="W105" i="88"/>
  <c r="R105" i="88"/>
  <c r="S105" i="88" s="1"/>
  <c r="T105" i="88" s="1"/>
  <c r="U105" i="88" s="1"/>
  <c r="O105" i="88"/>
  <c r="P105" i="88" s="1"/>
  <c r="Q105" i="88" s="1"/>
  <c r="N105" i="88"/>
  <c r="AO104" i="88"/>
  <c r="AL104" i="88"/>
  <c r="AH104" i="88"/>
  <c r="AB104" i="88"/>
  <c r="X104" i="88"/>
  <c r="W104" i="88"/>
  <c r="R104" i="88"/>
  <c r="S104" i="88" s="1"/>
  <c r="T104" i="88" s="1"/>
  <c r="U104" i="88" s="1"/>
  <c r="O104" i="88"/>
  <c r="P104" i="88" s="1"/>
  <c r="Q104" i="88" s="1"/>
  <c r="N104" i="88"/>
  <c r="AO103" i="88"/>
  <c r="AL103" i="88"/>
  <c r="AH103" i="88"/>
  <c r="AB103" i="88"/>
  <c r="X103" i="88"/>
  <c r="W103" i="88"/>
  <c r="R103" i="88"/>
  <c r="S103" i="88" s="1"/>
  <c r="T103" i="88" s="1"/>
  <c r="U103" i="88" s="1"/>
  <c r="O103" i="88"/>
  <c r="P103" i="88" s="1"/>
  <c r="Q103" i="88" s="1"/>
  <c r="N103" i="88"/>
  <c r="AO102" i="88"/>
  <c r="AL102" i="88"/>
  <c r="AH102" i="88"/>
  <c r="AB102" i="88"/>
  <c r="X102" i="88"/>
  <c r="W102" i="88"/>
  <c r="R102" i="88"/>
  <c r="S102" i="88" s="1"/>
  <c r="T102" i="88" s="1"/>
  <c r="U102" i="88" s="1"/>
  <c r="O102" i="88"/>
  <c r="P102" i="88" s="1"/>
  <c r="Q102" i="88" s="1"/>
  <c r="N102" i="88"/>
  <c r="AO101" i="88"/>
  <c r="AL101" i="88"/>
  <c r="AH101" i="88"/>
  <c r="AB101" i="88"/>
  <c r="X101" i="88"/>
  <c r="W101" i="88"/>
  <c r="R101" i="88"/>
  <c r="S101" i="88" s="1"/>
  <c r="T101" i="88" s="1"/>
  <c r="U101" i="88" s="1"/>
  <c r="O101" i="88"/>
  <c r="P101" i="88" s="1"/>
  <c r="Q101" i="88" s="1"/>
  <c r="N101" i="88"/>
  <c r="AO100" i="88"/>
  <c r="AL100" i="88"/>
  <c r="AH100" i="88"/>
  <c r="AB100" i="88"/>
  <c r="X100" i="88"/>
  <c r="W100" i="88"/>
  <c r="R100" i="88"/>
  <c r="S100" i="88" s="1"/>
  <c r="T100" i="88" s="1"/>
  <c r="U100" i="88" s="1"/>
  <c r="O100" i="88"/>
  <c r="P100" i="88" s="1"/>
  <c r="Q100" i="88" s="1"/>
  <c r="N100" i="88"/>
  <c r="AO99" i="88"/>
  <c r="AL99" i="88"/>
  <c r="AH99" i="88"/>
  <c r="AB99" i="88"/>
  <c r="X99" i="88"/>
  <c r="W99" i="88"/>
  <c r="R99" i="88"/>
  <c r="S99" i="88" s="1"/>
  <c r="T99" i="88" s="1"/>
  <c r="U99" i="88" s="1"/>
  <c r="O99" i="88"/>
  <c r="P99" i="88" s="1"/>
  <c r="Q99" i="88" s="1"/>
  <c r="N99" i="88"/>
  <c r="AO98" i="88"/>
  <c r="AL98" i="88"/>
  <c r="AH98" i="88"/>
  <c r="AB98" i="88"/>
  <c r="X98" i="88"/>
  <c r="W98" i="88"/>
  <c r="R98" i="88"/>
  <c r="S98" i="88" s="1"/>
  <c r="T98" i="88" s="1"/>
  <c r="U98" i="88" s="1"/>
  <c r="O98" i="88"/>
  <c r="P98" i="88" s="1"/>
  <c r="Q98" i="88" s="1"/>
  <c r="N98" i="88"/>
  <c r="AO97" i="88"/>
  <c r="AL97" i="88"/>
  <c r="AH97" i="88"/>
  <c r="AB97" i="88"/>
  <c r="X97" i="88"/>
  <c r="W97" i="88"/>
  <c r="R97" i="88"/>
  <c r="S97" i="88" s="1"/>
  <c r="T97" i="88" s="1"/>
  <c r="U97" i="88" s="1"/>
  <c r="O97" i="88"/>
  <c r="P97" i="88" s="1"/>
  <c r="Q97" i="88" s="1"/>
  <c r="N97" i="88"/>
  <c r="AO96" i="88"/>
  <c r="AL96" i="88"/>
  <c r="AH96" i="88"/>
  <c r="AB96" i="88"/>
  <c r="X96" i="88"/>
  <c r="W96" i="88"/>
  <c r="R96" i="88"/>
  <c r="S96" i="88" s="1"/>
  <c r="T96" i="88" s="1"/>
  <c r="U96" i="88" s="1"/>
  <c r="O96" i="88"/>
  <c r="P96" i="88" s="1"/>
  <c r="Q96" i="88" s="1"/>
  <c r="N96" i="88"/>
  <c r="AO95" i="88"/>
  <c r="AL95" i="88"/>
  <c r="AH95" i="88"/>
  <c r="AB95" i="88"/>
  <c r="X95" i="88"/>
  <c r="W95" i="88"/>
  <c r="R95" i="88"/>
  <c r="S95" i="88" s="1"/>
  <c r="T95" i="88" s="1"/>
  <c r="U95" i="88" s="1"/>
  <c r="O95" i="88"/>
  <c r="P95" i="88" s="1"/>
  <c r="Q95" i="88" s="1"/>
  <c r="N95" i="88"/>
  <c r="AO94" i="88"/>
  <c r="AL94" i="88"/>
  <c r="AH94" i="88"/>
  <c r="AB94" i="88"/>
  <c r="X94" i="88"/>
  <c r="W94" i="88"/>
  <c r="R94" i="88"/>
  <c r="S94" i="88" s="1"/>
  <c r="T94" i="88" s="1"/>
  <c r="U94" i="88" s="1"/>
  <c r="O94" i="88"/>
  <c r="P94" i="88" s="1"/>
  <c r="Q94" i="88" s="1"/>
  <c r="N94" i="88"/>
  <c r="AO93" i="88"/>
  <c r="AL93" i="88"/>
  <c r="AH93" i="88"/>
  <c r="AB93" i="88"/>
  <c r="X93" i="88"/>
  <c r="W93" i="88"/>
  <c r="R93" i="88"/>
  <c r="S93" i="88" s="1"/>
  <c r="T93" i="88" s="1"/>
  <c r="U93" i="88" s="1"/>
  <c r="O93" i="88"/>
  <c r="P93" i="88" s="1"/>
  <c r="Q93" i="88" s="1"/>
  <c r="N93" i="88"/>
  <c r="AO92" i="88"/>
  <c r="AL92" i="88"/>
  <c r="AH92" i="88"/>
  <c r="AB92" i="88"/>
  <c r="X92" i="88"/>
  <c r="W92" i="88"/>
  <c r="R92" i="88"/>
  <c r="S92" i="88" s="1"/>
  <c r="T92" i="88" s="1"/>
  <c r="U92" i="88" s="1"/>
  <c r="O92" i="88"/>
  <c r="P92" i="88" s="1"/>
  <c r="Q92" i="88" s="1"/>
  <c r="N92" i="88"/>
  <c r="AO91" i="88"/>
  <c r="AL91" i="88"/>
  <c r="AH91" i="88"/>
  <c r="AB91" i="88"/>
  <c r="X91" i="88"/>
  <c r="W91" i="88"/>
  <c r="R91" i="88"/>
  <c r="S91" i="88" s="1"/>
  <c r="T91" i="88" s="1"/>
  <c r="U91" i="88" s="1"/>
  <c r="O91" i="88"/>
  <c r="P91" i="88" s="1"/>
  <c r="Q91" i="88" s="1"/>
  <c r="N91" i="88"/>
  <c r="AO90" i="88"/>
  <c r="AL90" i="88"/>
  <c r="AH90" i="88"/>
  <c r="AB90" i="88"/>
  <c r="X90" i="88"/>
  <c r="W90" i="88"/>
  <c r="R90" i="88"/>
  <c r="S90" i="88" s="1"/>
  <c r="T90" i="88" s="1"/>
  <c r="U90" i="88" s="1"/>
  <c r="O90" i="88"/>
  <c r="P90" i="88" s="1"/>
  <c r="Q90" i="88" s="1"/>
  <c r="N90" i="88"/>
  <c r="AO89" i="88"/>
  <c r="AL89" i="88"/>
  <c r="AH89" i="88"/>
  <c r="AB89" i="88"/>
  <c r="X89" i="88"/>
  <c r="W89" i="88"/>
  <c r="R89" i="88"/>
  <c r="S89" i="88" s="1"/>
  <c r="T89" i="88" s="1"/>
  <c r="U89" i="88" s="1"/>
  <c r="O89" i="88"/>
  <c r="P89" i="88" s="1"/>
  <c r="Q89" i="88" s="1"/>
  <c r="N89" i="88"/>
  <c r="AO88" i="88"/>
  <c r="AL88" i="88"/>
  <c r="AH88" i="88"/>
  <c r="AB88" i="88"/>
  <c r="X88" i="88"/>
  <c r="W88" i="88"/>
  <c r="R88" i="88"/>
  <c r="S88" i="88" s="1"/>
  <c r="T88" i="88" s="1"/>
  <c r="U88" i="88" s="1"/>
  <c r="O88" i="88"/>
  <c r="P88" i="88" s="1"/>
  <c r="Q88" i="88" s="1"/>
  <c r="N88" i="88"/>
  <c r="AO87" i="88"/>
  <c r="AL87" i="88"/>
  <c r="AH87" i="88"/>
  <c r="AB87" i="88"/>
  <c r="X87" i="88"/>
  <c r="W87" i="88"/>
  <c r="R87" i="88"/>
  <c r="S87" i="88" s="1"/>
  <c r="T87" i="88" s="1"/>
  <c r="U87" i="88" s="1"/>
  <c r="O87" i="88"/>
  <c r="P87" i="88" s="1"/>
  <c r="Q87" i="88" s="1"/>
  <c r="N87" i="88"/>
  <c r="AO86" i="88"/>
  <c r="AL86" i="88"/>
  <c r="AH86" i="88"/>
  <c r="AB86" i="88"/>
  <c r="X86" i="88"/>
  <c r="W86" i="88"/>
  <c r="R86" i="88"/>
  <c r="S86" i="88" s="1"/>
  <c r="T86" i="88" s="1"/>
  <c r="U86" i="88" s="1"/>
  <c r="O86" i="88"/>
  <c r="P86" i="88" s="1"/>
  <c r="Q86" i="88" s="1"/>
  <c r="N86" i="88"/>
  <c r="AO85" i="88"/>
  <c r="AL85" i="88"/>
  <c r="AH85" i="88"/>
  <c r="AB85" i="88"/>
  <c r="X85" i="88"/>
  <c r="W85" i="88"/>
  <c r="R85" i="88"/>
  <c r="S85" i="88" s="1"/>
  <c r="T85" i="88" s="1"/>
  <c r="U85" i="88" s="1"/>
  <c r="O85" i="88"/>
  <c r="P85" i="88" s="1"/>
  <c r="Q85" i="88" s="1"/>
  <c r="N85" i="88"/>
  <c r="AO84" i="88"/>
  <c r="AL84" i="88"/>
  <c r="AH84" i="88"/>
  <c r="AB84" i="88"/>
  <c r="X84" i="88"/>
  <c r="W84" i="88"/>
  <c r="R84" i="88"/>
  <c r="S84" i="88" s="1"/>
  <c r="T84" i="88" s="1"/>
  <c r="U84" i="88" s="1"/>
  <c r="O84" i="88"/>
  <c r="P84" i="88" s="1"/>
  <c r="Q84" i="88" s="1"/>
  <c r="N84" i="88"/>
  <c r="AO83" i="88"/>
  <c r="AL83" i="88"/>
  <c r="AH83" i="88"/>
  <c r="AB83" i="88"/>
  <c r="X83" i="88"/>
  <c r="W83" i="88"/>
  <c r="R83" i="88"/>
  <c r="S83" i="88" s="1"/>
  <c r="T83" i="88" s="1"/>
  <c r="U83" i="88" s="1"/>
  <c r="O83" i="88"/>
  <c r="P83" i="88" s="1"/>
  <c r="Q83" i="88" s="1"/>
  <c r="N83" i="88"/>
  <c r="AO82" i="88"/>
  <c r="AL82" i="88"/>
  <c r="AH82" i="88"/>
  <c r="AB82" i="88"/>
  <c r="X82" i="88"/>
  <c r="W82" i="88"/>
  <c r="R82" i="88"/>
  <c r="S82" i="88" s="1"/>
  <c r="T82" i="88" s="1"/>
  <c r="U82" i="88" s="1"/>
  <c r="O82" i="88"/>
  <c r="P82" i="88" s="1"/>
  <c r="Q82" i="88" s="1"/>
  <c r="N82" i="88"/>
  <c r="AO81" i="88"/>
  <c r="AL81" i="88"/>
  <c r="AH81" i="88"/>
  <c r="AB81" i="88"/>
  <c r="X81" i="88"/>
  <c r="W81" i="88"/>
  <c r="R81" i="88"/>
  <c r="S81" i="88" s="1"/>
  <c r="T81" i="88" s="1"/>
  <c r="U81" i="88" s="1"/>
  <c r="O81" i="88"/>
  <c r="P81" i="88" s="1"/>
  <c r="Q81" i="88" s="1"/>
  <c r="N81" i="88"/>
  <c r="AO80" i="88"/>
  <c r="AL80" i="88"/>
  <c r="AH80" i="88"/>
  <c r="AB80" i="88"/>
  <c r="X80" i="88"/>
  <c r="W80" i="88"/>
  <c r="R80" i="88"/>
  <c r="S80" i="88" s="1"/>
  <c r="T80" i="88" s="1"/>
  <c r="U80" i="88" s="1"/>
  <c r="O80" i="88"/>
  <c r="P80" i="88" s="1"/>
  <c r="Q80" i="88" s="1"/>
  <c r="N80" i="88"/>
  <c r="AO79" i="88"/>
  <c r="AL79" i="88"/>
  <c r="AH79" i="88"/>
  <c r="AB79" i="88"/>
  <c r="X79" i="88"/>
  <c r="W79" i="88"/>
  <c r="R79" i="88"/>
  <c r="S79" i="88" s="1"/>
  <c r="T79" i="88" s="1"/>
  <c r="U79" i="88" s="1"/>
  <c r="O79" i="88"/>
  <c r="P79" i="88" s="1"/>
  <c r="Q79" i="88" s="1"/>
  <c r="N79" i="88"/>
  <c r="AO78" i="88"/>
  <c r="AL78" i="88"/>
  <c r="AH78" i="88"/>
  <c r="AB78" i="88"/>
  <c r="X78" i="88"/>
  <c r="W78" i="88"/>
  <c r="R78" i="88"/>
  <c r="S78" i="88" s="1"/>
  <c r="T78" i="88" s="1"/>
  <c r="U78" i="88" s="1"/>
  <c r="O78" i="88"/>
  <c r="P78" i="88" s="1"/>
  <c r="Q78" i="88" s="1"/>
  <c r="N78" i="88"/>
  <c r="AO77" i="88"/>
  <c r="AL77" i="88"/>
  <c r="AH77" i="88"/>
  <c r="AB77" i="88"/>
  <c r="X77" i="88"/>
  <c r="W77" i="88"/>
  <c r="R77" i="88"/>
  <c r="S77" i="88" s="1"/>
  <c r="T77" i="88" s="1"/>
  <c r="U77" i="88" s="1"/>
  <c r="O77" i="88"/>
  <c r="P77" i="88" s="1"/>
  <c r="Q77" i="88" s="1"/>
  <c r="N77" i="88"/>
  <c r="AO76" i="88"/>
  <c r="AL76" i="88"/>
  <c r="AH76" i="88"/>
  <c r="AB76" i="88"/>
  <c r="X76" i="88"/>
  <c r="W76" i="88"/>
  <c r="R76" i="88"/>
  <c r="S76" i="88" s="1"/>
  <c r="T76" i="88" s="1"/>
  <c r="U76" i="88" s="1"/>
  <c r="O76" i="88"/>
  <c r="P76" i="88" s="1"/>
  <c r="Q76" i="88" s="1"/>
  <c r="N76" i="88"/>
  <c r="AO75" i="88"/>
  <c r="AL75" i="88"/>
  <c r="AH75" i="88"/>
  <c r="AB75" i="88"/>
  <c r="X75" i="88"/>
  <c r="W75" i="88"/>
  <c r="R75" i="88"/>
  <c r="S75" i="88" s="1"/>
  <c r="T75" i="88" s="1"/>
  <c r="U75" i="88" s="1"/>
  <c r="O75" i="88"/>
  <c r="P75" i="88" s="1"/>
  <c r="Q75" i="88" s="1"/>
  <c r="N75" i="88"/>
  <c r="AO74" i="88"/>
  <c r="AL74" i="88"/>
  <c r="AH74" i="88"/>
  <c r="AB74" i="88"/>
  <c r="X74" i="88"/>
  <c r="W74" i="88"/>
  <c r="R74" i="88"/>
  <c r="S74" i="88" s="1"/>
  <c r="T74" i="88" s="1"/>
  <c r="U74" i="88" s="1"/>
  <c r="O74" i="88"/>
  <c r="P74" i="88" s="1"/>
  <c r="Q74" i="88" s="1"/>
  <c r="N74" i="88"/>
  <c r="AO73" i="88"/>
  <c r="AL73" i="88"/>
  <c r="AH73" i="88"/>
  <c r="AB73" i="88"/>
  <c r="X73" i="88"/>
  <c r="W73" i="88"/>
  <c r="R73" i="88"/>
  <c r="S73" i="88" s="1"/>
  <c r="T73" i="88" s="1"/>
  <c r="U73" i="88" s="1"/>
  <c r="O73" i="88"/>
  <c r="P73" i="88" s="1"/>
  <c r="Q73" i="88" s="1"/>
  <c r="N73" i="88"/>
  <c r="AO72" i="88"/>
  <c r="AL72" i="88"/>
  <c r="AH72" i="88"/>
  <c r="AB72" i="88"/>
  <c r="X72" i="88"/>
  <c r="W72" i="88"/>
  <c r="R72" i="88"/>
  <c r="S72" i="88" s="1"/>
  <c r="T72" i="88" s="1"/>
  <c r="U72" i="88" s="1"/>
  <c r="O72" i="88"/>
  <c r="P72" i="88" s="1"/>
  <c r="Q72" i="88" s="1"/>
  <c r="N72" i="88"/>
  <c r="AO71" i="88"/>
  <c r="AL71" i="88"/>
  <c r="AH71" i="88"/>
  <c r="AB71" i="88"/>
  <c r="X71" i="88"/>
  <c r="W71" i="88"/>
  <c r="R71" i="88"/>
  <c r="S71" i="88" s="1"/>
  <c r="T71" i="88" s="1"/>
  <c r="U71" i="88" s="1"/>
  <c r="O71" i="88"/>
  <c r="P71" i="88" s="1"/>
  <c r="Q71" i="88" s="1"/>
  <c r="N71" i="88"/>
  <c r="AO70" i="88"/>
  <c r="AL70" i="88"/>
  <c r="AH70" i="88"/>
  <c r="AB70" i="88"/>
  <c r="X70" i="88"/>
  <c r="W70" i="88"/>
  <c r="R70" i="88"/>
  <c r="S70" i="88" s="1"/>
  <c r="T70" i="88" s="1"/>
  <c r="U70" i="88" s="1"/>
  <c r="O70" i="88"/>
  <c r="P70" i="88" s="1"/>
  <c r="Q70" i="88" s="1"/>
  <c r="N70" i="88"/>
  <c r="AO69" i="88"/>
  <c r="AL69" i="88"/>
  <c r="AH69" i="88"/>
  <c r="AB69" i="88"/>
  <c r="X69" i="88"/>
  <c r="W69" i="88"/>
  <c r="R69" i="88"/>
  <c r="S69" i="88" s="1"/>
  <c r="T69" i="88" s="1"/>
  <c r="U69" i="88" s="1"/>
  <c r="O69" i="88"/>
  <c r="P69" i="88" s="1"/>
  <c r="Q69" i="88" s="1"/>
  <c r="N69" i="88"/>
  <c r="AO68" i="88"/>
  <c r="AL68" i="88"/>
  <c r="AH68" i="88"/>
  <c r="AB68" i="88"/>
  <c r="X68" i="88"/>
  <c r="W68" i="88"/>
  <c r="R68" i="88"/>
  <c r="S68" i="88" s="1"/>
  <c r="T68" i="88" s="1"/>
  <c r="U68" i="88" s="1"/>
  <c r="O68" i="88"/>
  <c r="P68" i="88" s="1"/>
  <c r="Q68" i="88" s="1"/>
  <c r="N68" i="88"/>
  <c r="AO67" i="88"/>
  <c r="AL67" i="88"/>
  <c r="AH67" i="88"/>
  <c r="AB67" i="88"/>
  <c r="X67" i="88"/>
  <c r="W67" i="88"/>
  <c r="R67" i="88"/>
  <c r="S67" i="88" s="1"/>
  <c r="T67" i="88" s="1"/>
  <c r="U67" i="88" s="1"/>
  <c r="O67" i="88"/>
  <c r="P67" i="88" s="1"/>
  <c r="Q67" i="88" s="1"/>
  <c r="N67" i="88"/>
  <c r="AO66" i="88"/>
  <c r="AL66" i="88"/>
  <c r="AH66" i="88"/>
  <c r="AB66" i="88"/>
  <c r="X66" i="88"/>
  <c r="W66" i="88"/>
  <c r="R66" i="88"/>
  <c r="S66" i="88" s="1"/>
  <c r="T66" i="88" s="1"/>
  <c r="U66" i="88" s="1"/>
  <c r="O66" i="88"/>
  <c r="P66" i="88" s="1"/>
  <c r="Q66" i="88" s="1"/>
  <c r="N66" i="88"/>
  <c r="AO65" i="88"/>
  <c r="AL65" i="88"/>
  <c r="AH65" i="88"/>
  <c r="AB65" i="88"/>
  <c r="X65" i="88"/>
  <c r="W65" i="88"/>
  <c r="R65" i="88"/>
  <c r="S65" i="88" s="1"/>
  <c r="T65" i="88" s="1"/>
  <c r="U65" i="88" s="1"/>
  <c r="O65" i="88"/>
  <c r="P65" i="88" s="1"/>
  <c r="Q65" i="88" s="1"/>
  <c r="N65" i="88"/>
  <c r="AO64" i="88"/>
  <c r="AL64" i="88"/>
  <c r="AH64" i="88"/>
  <c r="AB64" i="88"/>
  <c r="X64" i="88"/>
  <c r="W64" i="88"/>
  <c r="R64" i="88"/>
  <c r="S64" i="88" s="1"/>
  <c r="T64" i="88" s="1"/>
  <c r="U64" i="88" s="1"/>
  <c r="O64" i="88"/>
  <c r="P64" i="88" s="1"/>
  <c r="Q64" i="88" s="1"/>
  <c r="N64" i="88"/>
  <c r="AO63" i="88"/>
  <c r="AL63" i="88"/>
  <c r="AH63" i="88"/>
  <c r="AB63" i="88"/>
  <c r="X63" i="88"/>
  <c r="W63" i="88"/>
  <c r="R63" i="88"/>
  <c r="S63" i="88" s="1"/>
  <c r="T63" i="88" s="1"/>
  <c r="U63" i="88" s="1"/>
  <c r="O63" i="88"/>
  <c r="P63" i="88" s="1"/>
  <c r="Q63" i="88" s="1"/>
  <c r="N63" i="88"/>
  <c r="AO62" i="88"/>
  <c r="AL62" i="88"/>
  <c r="AH62" i="88"/>
  <c r="AB62" i="88"/>
  <c r="X62" i="88"/>
  <c r="W62" i="88"/>
  <c r="R62" i="88"/>
  <c r="S62" i="88" s="1"/>
  <c r="T62" i="88" s="1"/>
  <c r="U62" i="88" s="1"/>
  <c r="O62" i="88"/>
  <c r="P62" i="88" s="1"/>
  <c r="Q62" i="88" s="1"/>
  <c r="N62" i="88"/>
  <c r="AO61" i="88"/>
  <c r="AL61" i="88"/>
  <c r="AH61" i="88"/>
  <c r="AB61" i="88"/>
  <c r="X61" i="88"/>
  <c r="W61" i="88"/>
  <c r="R61" i="88"/>
  <c r="S61" i="88" s="1"/>
  <c r="T61" i="88" s="1"/>
  <c r="U61" i="88" s="1"/>
  <c r="O61" i="88"/>
  <c r="P61" i="88" s="1"/>
  <c r="Q61" i="88" s="1"/>
  <c r="N61" i="88"/>
  <c r="AO60" i="88"/>
  <c r="AL60" i="88"/>
  <c r="AH60" i="88"/>
  <c r="AB60" i="88"/>
  <c r="X60" i="88"/>
  <c r="W60" i="88"/>
  <c r="R60" i="88"/>
  <c r="S60" i="88" s="1"/>
  <c r="T60" i="88" s="1"/>
  <c r="U60" i="88" s="1"/>
  <c r="O60" i="88"/>
  <c r="P60" i="88" s="1"/>
  <c r="Q60" i="88" s="1"/>
  <c r="N60" i="88"/>
  <c r="AO59" i="88"/>
  <c r="AL59" i="88"/>
  <c r="AH59" i="88"/>
  <c r="AB59" i="88"/>
  <c r="X59" i="88"/>
  <c r="W59" i="88"/>
  <c r="R59" i="88"/>
  <c r="S59" i="88" s="1"/>
  <c r="T59" i="88" s="1"/>
  <c r="U59" i="88" s="1"/>
  <c r="O59" i="88"/>
  <c r="P59" i="88" s="1"/>
  <c r="Q59" i="88" s="1"/>
  <c r="N59" i="88"/>
  <c r="AO58" i="88"/>
  <c r="AL58" i="88"/>
  <c r="AH58" i="88"/>
  <c r="AB58" i="88"/>
  <c r="X58" i="88"/>
  <c r="W58" i="88"/>
  <c r="R58" i="88"/>
  <c r="S58" i="88" s="1"/>
  <c r="T58" i="88" s="1"/>
  <c r="U58" i="88" s="1"/>
  <c r="O58" i="88"/>
  <c r="P58" i="88" s="1"/>
  <c r="Q58" i="88" s="1"/>
  <c r="N58" i="88"/>
  <c r="AO57" i="88"/>
  <c r="AL57" i="88"/>
  <c r="AH57" i="88"/>
  <c r="AB57" i="88"/>
  <c r="X57" i="88"/>
  <c r="W57" i="88"/>
  <c r="R57" i="88"/>
  <c r="S57" i="88" s="1"/>
  <c r="T57" i="88" s="1"/>
  <c r="U57" i="88" s="1"/>
  <c r="O57" i="88"/>
  <c r="P57" i="88" s="1"/>
  <c r="Q57" i="88" s="1"/>
  <c r="N57" i="88"/>
  <c r="AO56" i="88"/>
  <c r="AL56" i="88"/>
  <c r="AH56" i="88"/>
  <c r="AB56" i="88"/>
  <c r="X56" i="88"/>
  <c r="W56" i="88"/>
  <c r="R56" i="88"/>
  <c r="S56" i="88" s="1"/>
  <c r="T56" i="88" s="1"/>
  <c r="U56" i="88" s="1"/>
  <c r="O56" i="88"/>
  <c r="P56" i="88" s="1"/>
  <c r="Q56" i="88" s="1"/>
  <c r="N56" i="88"/>
  <c r="AO55" i="88"/>
  <c r="AL55" i="88"/>
  <c r="AH55" i="88"/>
  <c r="AB55" i="88"/>
  <c r="X55" i="88"/>
  <c r="W55" i="88"/>
  <c r="R55" i="88"/>
  <c r="S55" i="88" s="1"/>
  <c r="T55" i="88" s="1"/>
  <c r="U55" i="88" s="1"/>
  <c r="O55" i="88"/>
  <c r="P55" i="88" s="1"/>
  <c r="Q55" i="88" s="1"/>
  <c r="N55" i="88"/>
  <c r="AO54" i="88"/>
  <c r="AL54" i="88"/>
  <c r="AH54" i="88"/>
  <c r="AB54" i="88"/>
  <c r="X54" i="88"/>
  <c r="W54" i="88"/>
  <c r="R54" i="88"/>
  <c r="S54" i="88" s="1"/>
  <c r="T54" i="88" s="1"/>
  <c r="U54" i="88" s="1"/>
  <c r="O54" i="88"/>
  <c r="P54" i="88" s="1"/>
  <c r="Q54" i="88" s="1"/>
  <c r="N54" i="88"/>
  <c r="AO53" i="88"/>
  <c r="AL53" i="88"/>
  <c r="AH53" i="88"/>
  <c r="AB53" i="88"/>
  <c r="X53" i="88"/>
  <c r="W53" i="88"/>
  <c r="R53" i="88"/>
  <c r="S53" i="88" s="1"/>
  <c r="T53" i="88" s="1"/>
  <c r="U53" i="88" s="1"/>
  <c r="O53" i="88"/>
  <c r="P53" i="88" s="1"/>
  <c r="Q53" i="88" s="1"/>
  <c r="N53" i="88"/>
  <c r="AO52" i="88"/>
  <c r="AL52" i="88"/>
  <c r="AH52" i="88"/>
  <c r="AB52" i="88"/>
  <c r="X52" i="88"/>
  <c r="W52" i="88"/>
  <c r="R52" i="88"/>
  <c r="S52" i="88" s="1"/>
  <c r="T52" i="88" s="1"/>
  <c r="U52" i="88" s="1"/>
  <c r="O52" i="88"/>
  <c r="P52" i="88" s="1"/>
  <c r="Q52" i="88" s="1"/>
  <c r="N52" i="88"/>
  <c r="AO51" i="88"/>
  <c r="AL51" i="88"/>
  <c r="AH51" i="88"/>
  <c r="AB51" i="88"/>
  <c r="X51" i="88"/>
  <c r="W51" i="88"/>
  <c r="R51" i="88"/>
  <c r="S51" i="88" s="1"/>
  <c r="T51" i="88" s="1"/>
  <c r="U51" i="88" s="1"/>
  <c r="O51" i="88"/>
  <c r="P51" i="88" s="1"/>
  <c r="Q51" i="88" s="1"/>
  <c r="N51" i="88"/>
  <c r="AO50" i="88"/>
  <c r="AL50" i="88"/>
  <c r="AH50" i="88"/>
  <c r="AB50" i="88"/>
  <c r="X50" i="88"/>
  <c r="W50" i="88"/>
  <c r="R50" i="88"/>
  <c r="S50" i="88" s="1"/>
  <c r="T50" i="88" s="1"/>
  <c r="U50" i="88" s="1"/>
  <c r="O50" i="88"/>
  <c r="P50" i="88" s="1"/>
  <c r="Q50" i="88" s="1"/>
  <c r="N50" i="88"/>
  <c r="AO49" i="88"/>
  <c r="AL49" i="88"/>
  <c r="AH49" i="88"/>
  <c r="AB49" i="88"/>
  <c r="X49" i="88"/>
  <c r="W49" i="88"/>
  <c r="R49" i="88"/>
  <c r="S49" i="88" s="1"/>
  <c r="T49" i="88" s="1"/>
  <c r="U49" i="88" s="1"/>
  <c r="O49" i="88"/>
  <c r="P49" i="88" s="1"/>
  <c r="Q49" i="88" s="1"/>
  <c r="N49" i="88"/>
  <c r="AO48" i="88"/>
  <c r="AL48" i="88"/>
  <c r="AH48" i="88"/>
  <c r="AB48" i="88"/>
  <c r="X48" i="88"/>
  <c r="W48" i="88"/>
  <c r="R48" i="88"/>
  <c r="S48" i="88" s="1"/>
  <c r="T48" i="88" s="1"/>
  <c r="U48" i="88" s="1"/>
  <c r="O48" i="88"/>
  <c r="P48" i="88" s="1"/>
  <c r="Q48" i="88" s="1"/>
  <c r="N48" i="88"/>
  <c r="AO47" i="88"/>
  <c r="AL47" i="88"/>
  <c r="AH47" i="88"/>
  <c r="AB47" i="88"/>
  <c r="X47" i="88"/>
  <c r="W47" i="88"/>
  <c r="R47" i="88"/>
  <c r="S47" i="88" s="1"/>
  <c r="T47" i="88" s="1"/>
  <c r="U47" i="88" s="1"/>
  <c r="O47" i="88"/>
  <c r="P47" i="88" s="1"/>
  <c r="Q47" i="88" s="1"/>
  <c r="N47" i="88"/>
  <c r="AO46" i="88"/>
  <c r="AL46" i="88"/>
  <c r="AH46" i="88"/>
  <c r="AB46" i="88"/>
  <c r="X46" i="88"/>
  <c r="W46" i="88"/>
  <c r="R46" i="88"/>
  <c r="S46" i="88" s="1"/>
  <c r="T46" i="88" s="1"/>
  <c r="U46" i="88" s="1"/>
  <c r="O46" i="88"/>
  <c r="P46" i="88" s="1"/>
  <c r="Q46" i="88" s="1"/>
  <c r="N46" i="88"/>
  <c r="AO45" i="88"/>
  <c r="AL45" i="88"/>
  <c r="AH45" i="88"/>
  <c r="AB45" i="88"/>
  <c r="X45" i="88"/>
  <c r="W45" i="88"/>
  <c r="R45" i="88"/>
  <c r="S45" i="88" s="1"/>
  <c r="T45" i="88" s="1"/>
  <c r="U45" i="88" s="1"/>
  <c r="O45" i="88"/>
  <c r="P45" i="88" s="1"/>
  <c r="Q45" i="88" s="1"/>
  <c r="N45" i="88"/>
  <c r="AO44" i="88"/>
  <c r="AL44" i="88"/>
  <c r="AH44" i="88"/>
  <c r="AB44" i="88"/>
  <c r="X44" i="88"/>
  <c r="W44" i="88"/>
  <c r="R44" i="88"/>
  <c r="S44" i="88" s="1"/>
  <c r="T44" i="88" s="1"/>
  <c r="U44" i="88" s="1"/>
  <c r="O44" i="88"/>
  <c r="P44" i="88" s="1"/>
  <c r="Q44" i="88" s="1"/>
  <c r="N44" i="88"/>
  <c r="AO43" i="88"/>
  <c r="AL43" i="88"/>
  <c r="AH43" i="88"/>
  <c r="AB43" i="88"/>
  <c r="X43" i="88"/>
  <c r="W43" i="88"/>
  <c r="R43" i="88"/>
  <c r="S43" i="88" s="1"/>
  <c r="T43" i="88" s="1"/>
  <c r="U43" i="88" s="1"/>
  <c r="O43" i="88"/>
  <c r="P43" i="88" s="1"/>
  <c r="Q43" i="88" s="1"/>
  <c r="N43" i="88"/>
  <c r="AO42" i="88"/>
  <c r="AL42" i="88"/>
  <c r="AH42" i="88"/>
  <c r="AB42" i="88"/>
  <c r="X42" i="88"/>
  <c r="W42" i="88"/>
  <c r="R42" i="88"/>
  <c r="S42" i="88" s="1"/>
  <c r="T42" i="88" s="1"/>
  <c r="U42" i="88" s="1"/>
  <c r="O42" i="88"/>
  <c r="P42" i="88" s="1"/>
  <c r="Q42" i="88" s="1"/>
  <c r="N42" i="88"/>
  <c r="AO41" i="88"/>
  <c r="AL41" i="88"/>
  <c r="AH41" i="88"/>
  <c r="AB41" i="88"/>
  <c r="X41" i="88"/>
  <c r="W41" i="88"/>
  <c r="R41" i="88"/>
  <c r="S41" i="88" s="1"/>
  <c r="T41" i="88" s="1"/>
  <c r="U41" i="88" s="1"/>
  <c r="O41" i="88"/>
  <c r="P41" i="88" s="1"/>
  <c r="Q41" i="88" s="1"/>
  <c r="N41" i="88"/>
  <c r="AO40" i="88"/>
  <c r="AL40" i="88"/>
  <c r="AH40" i="88"/>
  <c r="AB40" i="88"/>
  <c r="X40" i="88"/>
  <c r="W40" i="88"/>
  <c r="R40" i="88"/>
  <c r="S40" i="88" s="1"/>
  <c r="T40" i="88" s="1"/>
  <c r="U40" i="88" s="1"/>
  <c r="O40" i="88"/>
  <c r="P40" i="88" s="1"/>
  <c r="Q40" i="88" s="1"/>
  <c r="N40" i="88"/>
  <c r="AO39" i="88"/>
  <c r="AL39" i="88"/>
  <c r="AH39" i="88"/>
  <c r="AB39" i="88"/>
  <c r="X39" i="88"/>
  <c r="W39" i="88"/>
  <c r="R39" i="88"/>
  <c r="S39" i="88" s="1"/>
  <c r="T39" i="88" s="1"/>
  <c r="U39" i="88" s="1"/>
  <c r="O39" i="88"/>
  <c r="P39" i="88" s="1"/>
  <c r="Q39" i="88" s="1"/>
  <c r="N39" i="88"/>
  <c r="AO38" i="88"/>
  <c r="AL38" i="88"/>
  <c r="AH38" i="88"/>
  <c r="AB38" i="88"/>
  <c r="X38" i="88"/>
  <c r="W38" i="88"/>
  <c r="R38" i="88"/>
  <c r="S38" i="88" s="1"/>
  <c r="T38" i="88" s="1"/>
  <c r="U38" i="88" s="1"/>
  <c r="O38" i="88"/>
  <c r="P38" i="88" s="1"/>
  <c r="Q38" i="88" s="1"/>
  <c r="N38" i="88"/>
  <c r="AO37" i="88"/>
  <c r="AL37" i="88"/>
  <c r="AH37" i="88"/>
  <c r="AB37" i="88"/>
  <c r="X37" i="88"/>
  <c r="W37" i="88"/>
  <c r="R37" i="88"/>
  <c r="S37" i="88" s="1"/>
  <c r="T37" i="88" s="1"/>
  <c r="U37" i="88" s="1"/>
  <c r="O37" i="88"/>
  <c r="P37" i="88" s="1"/>
  <c r="Q37" i="88" s="1"/>
  <c r="N37" i="88"/>
  <c r="AO36" i="88"/>
  <c r="AL36" i="88"/>
  <c r="AH36" i="88"/>
  <c r="AB36" i="88"/>
  <c r="X36" i="88"/>
  <c r="W36" i="88"/>
  <c r="R36" i="88"/>
  <c r="S36" i="88" s="1"/>
  <c r="T36" i="88" s="1"/>
  <c r="U36" i="88" s="1"/>
  <c r="O36" i="88"/>
  <c r="P36" i="88" s="1"/>
  <c r="Q36" i="88" s="1"/>
  <c r="N36" i="88"/>
  <c r="AO35" i="88"/>
  <c r="AL35" i="88"/>
  <c r="AH35" i="88"/>
  <c r="AB35" i="88"/>
  <c r="X35" i="88"/>
  <c r="W35" i="88"/>
  <c r="R35" i="88"/>
  <c r="S35" i="88" s="1"/>
  <c r="T35" i="88" s="1"/>
  <c r="U35" i="88" s="1"/>
  <c r="O35" i="88"/>
  <c r="P35" i="88" s="1"/>
  <c r="Q35" i="88" s="1"/>
  <c r="N35" i="88"/>
  <c r="AO34" i="88"/>
  <c r="AL34" i="88"/>
  <c r="AH34" i="88"/>
  <c r="AB34" i="88"/>
  <c r="X34" i="88"/>
  <c r="W34" i="88"/>
  <c r="R34" i="88"/>
  <c r="S34" i="88" s="1"/>
  <c r="T34" i="88" s="1"/>
  <c r="U34" i="88" s="1"/>
  <c r="O34" i="88"/>
  <c r="P34" i="88" s="1"/>
  <c r="Q34" i="88" s="1"/>
  <c r="N34" i="88"/>
  <c r="AO33" i="88"/>
  <c r="AL33" i="88"/>
  <c r="AH33" i="88"/>
  <c r="AB33" i="88"/>
  <c r="X33" i="88"/>
  <c r="W33" i="88"/>
  <c r="R33" i="88"/>
  <c r="S33" i="88" s="1"/>
  <c r="T33" i="88" s="1"/>
  <c r="U33" i="88" s="1"/>
  <c r="O33" i="88"/>
  <c r="P33" i="88" s="1"/>
  <c r="Q33" i="88" s="1"/>
  <c r="N33" i="88"/>
  <c r="AO32" i="88"/>
  <c r="AL32" i="88"/>
  <c r="AH32" i="88"/>
  <c r="AB32" i="88"/>
  <c r="X32" i="88"/>
  <c r="W32" i="88"/>
  <c r="R32" i="88"/>
  <c r="S32" i="88" s="1"/>
  <c r="T32" i="88" s="1"/>
  <c r="U32" i="88" s="1"/>
  <c r="O32" i="88"/>
  <c r="P32" i="88" s="1"/>
  <c r="Q32" i="88" s="1"/>
  <c r="N32" i="88"/>
  <c r="AO31" i="88"/>
  <c r="AL31" i="88"/>
  <c r="AH31" i="88"/>
  <c r="AB31" i="88"/>
  <c r="X31" i="88"/>
  <c r="W31" i="88"/>
  <c r="R31" i="88"/>
  <c r="S31" i="88" s="1"/>
  <c r="T31" i="88" s="1"/>
  <c r="U31" i="88" s="1"/>
  <c r="O31" i="88"/>
  <c r="P31" i="88" s="1"/>
  <c r="Q31" i="88" s="1"/>
  <c r="N31" i="88"/>
  <c r="AO30" i="88"/>
  <c r="AL30" i="88"/>
  <c r="AH30" i="88"/>
  <c r="AB30" i="88"/>
  <c r="X30" i="88"/>
  <c r="W30" i="88"/>
  <c r="R30" i="88"/>
  <c r="S30" i="88" s="1"/>
  <c r="T30" i="88" s="1"/>
  <c r="U30" i="88" s="1"/>
  <c r="O30" i="88"/>
  <c r="P30" i="88" s="1"/>
  <c r="Q30" i="88" s="1"/>
  <c r="N30" i="88"/>
  <c r="AO29" i="88"/>
  <c r="AL29" i="88"/>
  <c r="AH29" i="88"/>
  <c r="AB29" i="88"/>
  <c r="X29" i="88"/>
  <c r="W29" i="88"/>
  <c r="R29" i="88"/>
  <c r="S29" i="88" s="1"/>
  <c r="T29" i="88" s="1"/>
  <c r="U29" i="88" s="1"/>
  <c r="O29" i="88"/>
  <c r="P29" i="88" s="1"/>
  <c r="Q29" i="88" s="1"/>
  <c r="N29" i="88"/>
  <c r="AO28" i="88"/>
  <c r="AL28" i="88"/>
  <c r="AH28" i="88"/>
  <c r="AB28" i="88"/>
  <c r="X28" i="88"/>
  <c r="W28" i="88"/>
  <c r="R28" i="88"/>
  <c r="S28" i="88" s="1"/>
  <c r="T28" i="88" s="1"/>
  <c r="U28" i="88" s="1"/>
  <c r="O28" i="88"/>
  <c r="N28" i="88"/>
  <c r="AO27" i="88"/>
  <c r="AL27" i="88"/>
  <c r="AH27" i="88"/>
  <c r="AB27" i="88"/>
  <c r="X27" i="88"/>
  <c r="W27" i="88"/>
  <c r="R27" i="88"/>
  <c r="S27" i="88" s="1"/>
  <c r="T27" i="88" s="1"/>
  <c r="U27" i="88" s="1"/>
  <c r="O27" i="88"/>
  <c r="P27" i="88" s="1"/>
  <c r="N27" i="88"/>
  <c r="AP21" i="88"/>
  <c r="AD20" i="88"/>
  <c r="AE21" i="88" s="1"/>
  <c r="AE80" i="88" s="1"/>
  <c r="AA18" i="88"/>
  <c r="AB18" i="88" s="1"/>
  <c r="AC18" i="88" s="1"/>
  <c r="AD18" i="88" s="1"/>
  <c r="AE18" i="88" s="1"/>
  <c r="AF18" i="88" s="1"/>
  <c r="AG18" i="88" s="1"/>
  <c r="AH18" i="88" s="1"/>
  <c r="AI18" i="88" s="1"/>
  <c r="AJ18" i="88" s="1"/>
  <c r="AK18" i="88" s="1"/>
  <c r="AL18" i="88" s="1"/>
  <c r="AM18" i="88" s="1"/>
  <c r="AN18" i="88" s="1"/>
  <c r="AO18" i="88" s="1"/>
  <c r="AP18" i="88" s="1"/>
  <c r="AQ18" i="88" s="1"/>
  <c r="AR18" i="88" s="1"/>
  <c r="AS18" i="88" s="1"/>
  <c r="AT18" i="88" s="1"/>
  <c r="AU18" i="88" s="1"/>
  <c r="AV18" i="88" s="1"/>
  <c r="AW18" i="88" s="1"/>
  <c r="AX18" i="88" s="1"/>
  <c r="M18" i="88"/>
  <c r="N18" i="88" s="1"/>
  <c r="O18" i="88" s="1"/>
  <c r="P18" i="88" s="1"/>
  <c r="Q18" i="88" s="1"/>
  <c r="V18" i="88" s="1"/>
  <c r="W18" i="88" s="1"/>
  <c r="AR17" i="88"/>
  <c r="AN17" i="88"/>
  <c r="AM17" i="88"/>
  <c r="AK17" i="88"/>
  <c r="AJ17" i="88"/>
  <c r="AD17" i="88"/>
  <c r="AA17" i="88"/>
  <c r="Z17" i="88"/>
  <c r="V17" i="88"/>
  <c r="M17" i="88"/>
  <c r="L17" i="88"/>
  <c r="K17" i="88"/>
  <c r="E17" i="88"/>
  <c r="D17" i="88"/>
  <c r="C17" i="88"/>
  <c r="Y42" i="88" l="1"/>
  <c r="Y96" i="88"/>
  <c r="Y129" i="88"/>
  <c r="Y179" i="88"/>
  <c r="Y112" i="88"/>
  <c r="Y141" i="88"/>
  <c r="Y160" i="88"/>
  <c r="X17" i="88"/>
  <c r="Y103" i="88"/>
  <c r="Y67" i="88"/>
  <c r="Y173" i="88"/>
  <c r="Y55" i="88"/>
  <c r="Y178" i="88"/>
  <c r="AL17" i="88"/>
  <c r="Y131" i="88"/>
  <c r="Y167" i="88"/>
  <c r="Y37" i="88"/>
  <c r="Y98" i="88"/>
  <c r="Y139" i="88"/>
  <c r="Y74" i="88"/>
  <c r="AO17" i="88"/>
  <c r="AE33" i="88"/>
  <c r="W17" i="88"/>
  <c r="Y65" i="88"/>
  <c r="Y53" i="88"/>
  <c r="Y181" i="88"/>
  <c r="Y150" i="88"/>
  <c r="Y169" i="88"/>
  <c r="Y73" i="88"/>
  <c r="Y191" i="88"/>
  <c r="Y99" i="88"/>
  <c r="Y156" i="88"/>
  <c r="Y61" i="88"/>
  <c r="Y111" i="88"/>
  <c r="Y35" i="88"/>
  <c r="Y123" i="88"/>
  <c r="Y135" i="88"/>
  <c r="Y147" i="88"/>
  <c r="Y161" i="88"/>
  <c r="Y175" i="88"/>
  <c r="Y66" i="88"/>
  <c r="Y104" i="88"/>
  <c r="Y59" i="88"/>
  <c r="Y78" i="88"/>
  <c r="Y97" i="88"/>
  <c r="Y33" i="88"/>
  <c r="Y109" i="88"/>
  <c r="Y121" i="88"/>
  <c r="Y145" i="88"/>
  <c r="Y83" i="88"/>
  <c r="Y95" i="88"/>
  <c r="Y133" i="88"/>
  <c r="Y69" i="88"/>
  <c r="Y76" i="88"/>
  <c r="Y88" i="88"/>
  <c r="Y143" i="88"/>
  <c r="Y171" i="88"/>
  <c r="Y183" i="88"/>
  <c r="Y195" i="88"/>
  <c r="Y62" i="88"/>
  <c r="Y81" i="88"/>
  <c r="Y93" i="88"/>
  <c r="Y107" i="88"/>
  <c r="Y119" i="88"/>
  <c r="Y77" i="88"/>
  <c r="Y165" i="88"/>
  <c r="Y158" i="88"/>
  <c r="Y137" i="88"/>
  <c r="Y68" i="88"/>
  <c r="Y71" i="88"/>
  <c r="Y193" i="88"/>
  <c r="Y187" i="88"/>
  <c r="Y64" i="88"/>
  <c r="Y63" i="88"/>
  <c r="Y85" i="88"/>
  <c r="Y70" i="88"/>
  <c r="Y89" i="88"/>
  <c r="Y115" i="88"/>
  <c r="Y101" i="88"/>
  <c r="Y163" i="88"/>
  <c r="Y80" i="88"/>
  <c r="Y57" i="88"/>
  <c r="Y72" i="88"/>
  <c r="Y79" i="88"/>
  <c r="Y91" i="88"/>
  <c r="Y105" i="88"/>
  <c r="Y117" i="88"/>
  <c r="Y39" i="88"/>
  <c r="Y189" i="88"/>
  <c r="Y177" i="88"/>
  <c r="Y75" i="88"/>
  <c r="Y154" i="88"/>
  <c r="Y127" i="88"/>
  <c r="Y51" i="88"/>
  <c r="Y113" i="88"/>
  <c r="Y125" i="88"/>
  <c r="Y87" i="88"/>
  <c r="Y185" i="88"/>
  <c r="Y152" i="88"/>
  <c r="Y190" i="88"/>
  <c r="Y142" i="88"/>
  <c r="Y92" i="88"/>
  <c r="Y140" i="88"/>
  <c r="Y155" i="88"/>
  <c r="Y29" i="88"/>
  <c r="Y116" i="88"/>
  <c r="Y84" i="88"/>
  <c r="Y136" i="88"/>
  <c r="Y146" i="88"/>
  <c r="Y108" i="88"/>
  <c r="Y180" i="88"/>
  <c r="Y47" i="88"/>
  <c r="Y128" i="88"/>
  <c r="Y45" i="88"/>
  <c r="Y100" i="88"/>
  <c r="Y166" i="88"/>
  <c r="Y120" i="88"/>
  <c r="Y144" i="88"/>
  <c r="AB17" i="88"/>
  <c r="Y49" i="88"/>
  <c r="Y43" i="88"/>
  <c r="AC59" i="88"/>
  <c r="U17" i="88"/>
  <c r="Y31" i="88"/>
  <c r="AE39" i="88"/>
  <c r="AE51" i="88"/>
  <c r="AE59" i="88"/>
  <c r="AE70" i="88"/>
  <c r="AE78" i="88"/>
  <c r="N17" i="88"/>
  <c r="Q27" i="88"/>
  <c r="AE37" i="88"/>
  <c r="Y38" i="88"/>
  <c r="Y60" i="88"/>
  <c r="AB20" i="88"/>
  <c r="AC21" i="88" s="1"/>
  <c r="AC65" i="88" s="1"/>
  <c r="AE27" i="88"/>
  <c r="Y30" i="88"/>
  <c r="AE45" i="88"/>
  <c r="Y52" i="88"/>
  <c r="Y40" i="88"/>
  <c r="Y48" i="88"/>
  <c r="AE57" i="88"/>
  <c r="Y58" i="88"/>
  <c r="AE195" i="88"/>
  <c r="AE193" i="88"/>
  <c r="AE191" i="88"/>
  <c r="AE189" i="88"/>
  <c r="AE187" i="88"/>
  <c r="AE185" i="88"/>
  <c r="AE183" i="88"/>
  <c r="AE181" i="88"/>
  <c r="AE179" i="88"/>
  <c r="AE177" i="88"/>
  <c r="AE175" i="88"/>
  <c r="AE173" i="88"/>
  <c r="AE171" i="88"/>
  <c r="AE169" i="88"/>
  <c r="AE167" i="88"/>
  <c r="AE165" i="88"/>
  <c r="AE163" i="88"/>
  <c r="AE192" i="88"/>
  <c r="AE186" i="88"/>
  <c r="AE178" i="88"/>
  <c r="AE184" i="88"/>
  <c r="AE172" i="88"/>
  <c r="AE170" i="88"/>
  <c r="AE168" i="88"/>
  <c r="AE166" i="88"/>
  <c r="AE164" i="88"/>
  <c r="AE180" i="88"/>
  <c r="AE161" i="88"/>
  <c r="AE194" i="88"/>
  <c r="AE174" i="88"/>
  <c r="AE160" i="88"/>
  <c r="AE159" i="88"/>
  <c r="AE158" i="88"/>
  <c r="AE157" i="88"/>
  <c r="AE156" i="88"/>
  <c r="AE155" i="88"/>
  <c r="AE154" i="88"/>
  <c r="AE153" i="88"/>
  <c r="AE152" i="88"/>
  <c r="AE151" i="88"/>
  <c r="AE150" i="88"/>
  <c r="AE149" i="88"/>
  <c r="AE190" i="88"/>
  <c r="AE188" i="88"/>
  <c r="AE182" i="88"/>
  <c r="AE176" i="88"/>
  <c r="AE162" i="88"/>
  <c r="AE146" i="88"/>
  <c r="AE143" i="88"/>
  <c r="AE144" i="88"/>
  <c r="AE147" i="88"/>
  <c r="AE148" i="88"/>
  <c r="AE145" i="88"/>
  <c r="AE142" i="88"/>
  <c r="AE141" i="88"/>
  <c r="AE140" i="88"/>
  <c r="AE139" i="88"/>
  <c r="AE138" i="88"/>
  <c r="AE137" i="88"/>
  <c r="AE136" i="88"/>
  <c r="AE135" i="88"/>
  <c r="AE134" i="88"/>
  <c r="AE133" i="88"/>
  <c r="AE132" i="88"/>
  <c r="AE131" i="88"/>
  <c r="AE130" i="88"/>
  <c r="AE129" i="88"/>
  <c r="AE128" i="88"/>
  <c r="AE127" i="88"/>
  <c r="AE126" i="88"/>
  <c r="AE125" i="88"/>
  <c r="AE124" i="88"/>
  <c r="AE120" i="88"/>
  <c r="AE117" i="88"/>
  <c r="AE112" i="88"/>
  <c r="AE111" i="88"/>
  <c r="AE110" i="88"/>
  <c r="AE109" i="88"/>
  <c r="AE108" i="88"/>
  <c r="AE107" i="88"/>
  <c r="AE106" i="88"/>
  <c r="AE105" i="88"/>
  <c r="AE104" i="88"/>
  <c r="AE103" i="88"/>
  <c r="AE102" i="88"/>
  <c r="AE101" i="88"/>
  <c r="AE100" i="88"/>
  <c r="AE99" i="88"/>
  <c r="AE98" i="88"/>
  <c r="AE97" i="88"/>
  <c r="AE96" i="88"/>
  <c r="AE95" i="88"/>
  <c r="AE94" i="88"/>
  <c r="AE93" i="88"/>
  <c r="AE92" i="88"/>
  <c r="AE91" i="88"/>
  <c r="AE90" i="88"/>
  <c r="AE89" i="88"/>
  <c r="AE88" i="88"/>
  <c r="AE87" i="88"/>
  <c r="AE86" i="88"/>
  <c r="AE85" i="88"/>
  <c r="AE84" i="88"/>
  <c r="AE83" i="88"/>
  <c r="AE82" i="88"/>
  <c r="AE81" i="88"/>
  <c r="AE79" i="88"/>
  <c r="AE77" i="88"/>
  <c r="AE75" i="88"/>
  <c r="AE73" i="88"/>
  <c r="AE71" i="88"/>
  <c r="AE69" i="88"/>
  <c r="AE67" i="88"/>
  <c r="AE65" i="88"/>
  <c r="AE63" i="88"/>
  <c r="AE122" i="88"/>
  <c r="AE113" i="88"/>
  <c r="AE123" i="88"/>
  <c r="AE121" i="88"/>
  <c r="AE119" i="88"/>
  <c r="AE118" i="88"/>
  <c r="AE62" i="88"/>
  <c r="AE60" i="88"/>
  <c r="AE58" i="88"/>
  <c r="AE56" i="88"/>
  <c r="AE54" i="88"/>
  <c r="AE52" i="88"/>
  <c r="AE50" i="88"/>
  <c r="AE48" i="88"/>
  <c r="AE46" i="88"/>
  <c r="AE44" i="88"/>
  <c r="AE42" i="88"/>
  <c r="AE40" i="88"/>
  <c r="AE38" i="88"/>
  <c r="AE36" i="88"/>
  <c r="AE34" i="88"/>
  <c r="AE32" i="88"/>
  <c r="AE30" i="88"/>
  <c r="AE28" i="88"/>
  <c r="AE114" i="88"/>
  <c r="AE115" i="88"/>
  <c r="AE76" i="88"/>
  <c r="AE66" i="88"/>
  <c r="AE74" i="88"/>
  <c r="AE68" i="88"/>
  <c r="AE47" i="88"/>
  <c r="AE116" i="88"/>
  <c r="AE72" i="88"/>
  <c r="AE43" i="88"/>
  <c r="AE31" i="88"/>
  <c r="AE35" i="88"/>
  <c r="Y44" i="88"/>
  <c r="AE55" i="88"/>
  <c r="Y106" i="88"/>
  <c r="AE53" i="88"/>
  <c r="Y54" i="88"/>
  <c r="AE61" i="88"/>
  <c r="P28" i="88"/>
  <c r="Q28" i="88" s="1"/>
  <c r="Y28" i="88" s="1"/>
  <c r="O17" i="88"/>
  <c r="Y36" i="88"/>
  <c r="Y41" i="88"/>
  <c r="AC41" i="88"/>
  <c r="AE49" i="88"/>
  <c r="Y56" i="88"/>
  <c r="AE29" i="88"/>
  <c r="Y32" i="88"/>
  <c r="AE41" i="88"/>
  <c r="AE64" i="88"/>
  <c r="Y90" i="88"/>
  <c r="Y46" i="88"/>
  <c r="Y34" i="88"/>
  <c r="Y50" i="88"/>
  <c r="AC77" i="88"/>
  <c r="Y110" i="88"/>
  <c r="AC79" i="88"/>
  <c r="Y82" i="88"/>
  <c r="Y86" i="88"/>
  <c r="Y94" i="88"/>
  <c r="Y102" i="88"/>
  <c r="Y114" i="88"/>
  <c r="Y118" i="88"/>
  <c r="Y126" i="88"/>
  <c r="Y122" i="88"/>
  <c r="AC78" i="88"/>
  <c r="AF78" i="88" s="1"/>
  <c r="AG78" i="88" s="1"/>
  <c r="AI78" i="88" s="1"/>
  <c r="Y130" i="88"/>
  <c r="Y138" i="88"/>
  <c r="Y124" i="88"/>
  <c r="Y132" i="88"/>
  <c r="Y134" i="88"/>
  <c r="AC126" i="88"/>
  <c r="Y148" i="88"/>
  <c r="Y149" i="88"/>
  <c r="Y157" i="88"/>
  <c r="Y151" i="88"/>
  <c r="Y159" i="88"/>
  <c r="Y153" i="88"/>
  <c r="Y162" i="88"/>
  <c r="Y168" i="88"/>
  <c r="AC172" i="88"/>
  <c r="AC190" i="88"/>
  <c r="Y174" i="88"/>
  <c r="Y164" i="88"/>
  <c r="AC180" i="88"/>
  <c r="Y170" i="88"/>
  <c r="Y184" i="88"/>
  <c r="AC184" i="88"/>
  <c r="Y192" i="88"/>
  <c r="Y172" i="88"/>
  <c r="Y176" i="88"/>
  <c r="Y182" i="88"/>
  <c r="Y186" i="88"/>
  <c r="Y188" i="88"/>
  <c r="Y194" i="88"/>
  <c r="AO16" i="88" l="1"/>
  <c r="AF190" i="88"/>
  <c r="AG190" i="88" s="1"/>
  <c r="AI190" i="88" s="1"/>
  <c r="AC100" i="88"/>
  <c r="AC61" i="88"/>
  <c r="AC120" i="88"/>
  <c r="AC80" i="88"/>
  <c r="AF80" i="88" s="1"/>
  <c r="AG80" i="88" s="1"/>
  <c r="AI80" i="88" s="1"/>
  <c r="AC162" i="88"/>
  <c r="AF162" i="88" s="1"/>
  <c r="AG162" i="88" s="1"/>
  <c r="AI162" i="88" s="1"/>
  <c r="AF79" i="88"/>
  <c r="AG79" i="88" s="1"/>
  <c r="AI79" i="88" s="1"/>
  <c r="AP79" i="88" s="1"/>
  <c r="AQ79" i="88" s="1"/>
  <c r="AS79" i="88" s="1"/>
  <c r="AC140" i="88"/>
  <c r="AF140" i="88" s="1"/>
  <c r="AG140" i="88" s="1"/>
  <c r="AI140" i="88" s="1"/>
  <c r="AC136" i="88"/>
  <c r="AP190" i="88"/>
  <c r="AQ190" i="88" s="1"/>
  <c r="AF100" i="88"/>
  <c r="AG100" i="88" s="1"/>
  <c r="AI100" i="88" s="1"/>
  <c r="AP100" i="88" s="1"/>
  <c r="AQ100" i="88" s="1"/>
  <c r="AS100" i="88" s="1"/>
  <c r="AF61" i="88"/>
  <c r="AG61" i="88" s="1"/>
  <c r="AI61" i="88" s="1"/>
  <c r="AP61" i="88" s="1"/>
  <c r="AQ61" i="88" s="1"/>
  <c r="AS61" i="88" s="1"/>
  <c r="AF59" i="88"/>
  <c r="AG59" i="88" s="1"/>
  <c r="AI59" i="88" s="1"/>
  <c r="AF77" i="88"/>
  <c r="AG77" i="88" s="1"/>
  <c r="AI77" i="88" s="1"/>
  <c r="AP77" i="88" s="1"/>
  <c r="AQ77" i="88" s="1"/>
  <c r="AS77" i="88" s="1"/>
  <c r="AF120" i="88"/>
  <c r="AG120" i="88" s="1"/>
  <c r="AI120" i="88" s="1"/>
  <c r="AP120" i="88" s="1"/>
  <c r="AQ120" i="88" s="1"/>
  <c r="AS120" i="88" s="1"/>
  <c r="AF65" i="88"/>
  <c r="AG65" i="88" s="1"/>
  <c r="AI65" i="88" s="1"/>
  <c r="AP65" i="88" s="1"/>
  <c r="AQ65" i="88" s="1"/>
  <c r="AS65" i="88" s="1"/>
  <c r="AF126" i="88"/>
  <c r="AG126" i="88" s="1"/>
  <c r="AI126" i="88" s="1"/>
  <c r="AP126" i="88" s="1"/>
  <c r="AQ126" i="88" s="1"/>
  <c r="AF136" i="88"/>
  <c r="AG136" i="88" s="1"/>
  <c r="AI136" i="88" s="1"/>
  <c r="AP136" i="88" s="1"/>
  <c r="AQ136" i="88" s="1"/>
  <c r="AS136" i="88" s="1"/>
  <c r="AF180" i="88"/>
  <c r="AG180" i="88" s="1"/>
  <c r="AI180" i="88" s="1"/>
  <c r="AP180" i="88" s="1"/>
  <c r="AQ180" i="88" s="1"/>
  <c r="AS180" i="88" s="1"/>
  <c r="AF184" i="88"/>
  <c r="AG184" i="88" s="1"/>
  <c r="AI184" i="88" s="1"/>
  <c r="AP184" i="88" s="1"/>
  <c r="AQ184" i="88" s="1"/>
  <c r="AC146" i="88"/>
  <c r="AF146" i="88" s="1"/>
  <c r="AG146" i="88" s="1"/>
  <c r="AI146" i="88" s="1"/>
  <c r="AP146" i="88" s="1"/>
  <c r="AQ146" i="88" s="1"/>
  <c r="AC176" i="88"/>
  <c r="AF176" i="88" s="1"/>
  <c r="AG176" i="88" s="1"/>
  <c r="AI176" i="88" s="1"/>
  <c r="AP176" i="88" s="1"/>
  <c r="AQ176" i="88" s="1"/>
  <c r="AC128" i="88"/>
  <c r="AF128" i="88" s="1"/>
  <c r="AG128" i="88" s="1"/>
  <c r="AI128" i="88" s="1"/>
  <c r="AP128" i="88" s="1"/>
  <c r="AQ128" i="88" s="1"/>
  <c r="AS128" i="88" s="1"/>
  <c r="AC102" i="88"/>
  <c r="AF102" i="88" s="1"/>
  <c r="AG102" i="88" s="1"/>
  <c r="AI102" i="88" s="1"/>
  <c r="AP102" i="88" s="1"/>
  <c r="AQ102" i="88" s="1"/>
  <c r="AC186" i="88"/>
  <c r="AF186" i="88" s="1"/>
  <c r="AG186" i="88" s="1"/>
  <c r="AI186" i="88" s="1"/>
  <c r="AP186" i="88" s="1"/>
  <c r="AQ186" i="88" s="1"/>
  <c r="AC151" i="88"/>
  <c r="AF151" i="88" s="1"/>
  <c r="AG151" i="88" s="1"/>
  <c r="AI151" i="88" s="1"/>
  <c r="AP151" i="88" s="1"/>
  <c r="AQ151" i="88" s="1"/>
  <c r="AC112" i="88"/>
  <c r="AF112" i="88" s="1"/>
  <c r="AG112" i="88" s="1"/>
  <c r="AI112" i="88" s="1"/>
  <c r="AP112" i="88" s="1"/>
  <c r="AQ112" i="88" s="1"/>
  <c r="AC194" i="88"/>
  <c r="AF194" i="88" s="1"/>
  <c r="AG194" i="88" s="1"/>
  <c r="AI194" i="88" s="1"/>
  <c r="AP194" i="88" s="1"/>
  <c r="AQ194" i="88" s="1"/>
  <c r="AC73" i="88"/>
  <c r="AF73" i="88" s="1"/>
  <c r="AG73" i="88" s="1"/>
  <c r="AI73" i="88" s="1"/>
  <c r="AP73" i="88" s="1"/>
  <c r="AQ73" i="88" s="1"/>
  <c r="AC30" i="88"/>
  <c r="AF30" i="88" s="1"/>
  <c r="AG30" i="88" s="1"/>
  <c r="AI30" i="88" s="1"/>
  <c r="AP30" i="88" s="1"/>
  <c r="AQ30" i="88" s="1"/>
  <c r="AC110" i="88"/>
  <c r="AF110" i="88" s="1"/>
  <c r="AG110" i="88" s="1"/>
  <c r="AI110" i="88" s="1"/>
  <c r="AP110" i="88" s="1"/>
  <c r="AQ110" i="88" s="1"/>
  <c r="AC70" i="88"/>
  <c r="AF70" i="88" s="1"/>
  <c r="AG70" i="88" s="1"/>
  <c r="AI70" i="88" s="1"/>
  <c r="AP70" i="88" s="1"/>
  <c r="AQ70" i="88" s="1"/>
  <c r="AC96" i="88"/>
  <c r="AF96" i="88" s="1"/>
  <c r="AG96" i="88" s="1"/>
  <c r="AI96" i="88" s="1"/>
  <c r="AP96" i="88" s="1"/>
  <c r="AQ96" i="88" s="1"/>
  <c r="AS96" i="88" s="1"/>
  <c r="AC177" i="88"/>
  <c r="AF177" i="88" s="1"/>
  <c r="AG177" i="88" s="1"/>
  <c r="AI177" i="88" s="1"/>
  <c r="AP177" i="88" s="1"/>
  <c r="AQ177" i="88" s="1"/>
  <c r="AC88" i="88"/>
  <c r="AF88" i="88" s="1"/>
  <c r="AG88" i="88" s="1"/>
  <c r="AI88" i="88" s="1"/>
  <c r="AP88" i="88" s="1"/>
  <c r="AQ88" i="88" s="1"/>
  <c r="AC157" i="88"/>
  <c r="AF157" i="88" s="1"/>
  <c r="AG157" i="88" s="1"/>
  <c r="AI157" i="88" s="1"/>
  <c r="AP157" i="88" s="1"/>
  <c r="AQ157" i="88" s="1"/>
  <c r="AC124" i="88"/>
  <c r="AF124" i="88" s="1"/>
  <c r="AG124" i="88" s="1"/>
  <c r="AI124" i="88" s="1"/>
  <c r="AP124" i="88" s="1"/>
  <c r="AQ124" i="88" s="1"/>
  <c r="AC56" i="88"/>
  <c r="AF56" i="88" s="1"/>
  <c r="AG56" i="88" s="1"/>
  <c r="AI56" i="88" s="1"/>
  <c r="AP56" i="88" s="1"/>
  <c r="AQ56" i="88" s="1"/>
  <c r="AC170" i="88"/>
  <c r="AF170" i="88" s="1"/>
  <c r="AG170" i="88" s="1"/>
  <c r="AI170" i="88" s="1"/>
  <c r="AP170" i="88" s="1"/>
  <c r="AQ170" i="88" s="1"/>
  <c r="AC82" i="88"/>
  <c r="AF82" i="88" s="1"/>
  <c r="AG82" i="88" s="1"/>
  <c r="AI82" i="88" s="1"/>
  <c r="AP82" i="88" s="1"/>
  <c r="AQ82" i="88" s="1"/>
  <c r="AP59" i="88"/>
  <c r="AQ59" i="88" s="1"/>
  <c r="AS59" i="88" s="1"/>
  <c r="AP140" i="88"/>
  <c r="AQ140" i="88" s="1"/>
  <c r="AS140" i="88" s="1"/>
  <c r="AP80" i="88"/>
  <c r="AQ80" i="88" s="1"/>
  <c r="AS80" i="88" s="1"/>
  <c r="AP78" i="88"/>
  <c r="AQ78" i="88" s="1"/>
  <c r="AS78" i="88" s="1"/>
  <c r="AC174" i="88"/>
  <c r="AC118" i="88"/>
  <c r="AF118" i="88" s="1"/>
  <c r="AG118" i="88" s="1"/>
  <c r="AI118" i="88" s="1"/>
  <c r="AP118" i="88" s="1"/>
  <c r="AQ118" i="88" s="1"/>
  <c r="AC94" i="88"/>
  <c r="AF94" i="88" s="1"/>
  <c r="AG94" i="88" s="1"/>
  <c r="AI94" i="88" s="1"/>
  <c r="AP94" i="88" s="1"/>
  <c r="AQ94" i="88" s="1"/>
  <c r="AC132" i="88"/>
  <c r="AF132" i="88" s="1"/>
  <c r="AG132" i="88" s="1"/>
  <c r="AI132" i="88" s="1"/>
  <c r="AP132" i="88" s="1"/>
  <c r="AQ132" i="88" s="1"/>
  <c r="AC114" i="88"/>
  <c r="AF114" i="88" s="1"/>
  <c r="AG114" i="88" s="1"/>
  <c r="AI114" i="88" s="1"/>
  <c r="AC75" i="88"/>
  <c r="AF75" i="88" s="1"/>
  <c r="AG75" i="88" s="1"/>
  <c r="AI75" i="88" s="1"/>
  <c r="AP75" i="88" s="1"/>
  <c r="AQ75" i="88" s="1"/>
  <c r="AC53" i="88"/>
  <c r="AF53" i="88" s="1"/>
  <c r="AG53" i="88" s="1"/>
  <c r="AI53" i="88" s="1"/>
  <c r="AP53" i="88" s="1"/>
  <c r="AQ53" i="88" s="1"/>
  <c r="AS53" i="88" s="1"/>
  <c r="AC40" i="88"/>
  <c r="AF40" i="88" s="1"/>
  <c r="AG40" i="88" s="1"/>
  <c r="AI40" i="88" s="1"/>
  <c r="AP40" i="88" s="1"/>
  <c r="AQ40" i="88" s="1"/>
  <c r="AC27" i="88"/>
  <c r="AF27" i="88" s="1"/>
  <c r="AC192" i="88"/>
  <c r="AF192" i="88" s="1"/>
  <c r="AG192" i="88" s="1"/>
  <c r="AI192" i="88" s="1"/>
  <c r="AP192" i="88" s="1"/>
  <c r="AQ192" i="88" s="1"/>
  <c r="AC166" i="88"/>
  <c r="AF166" i="88" s="1"/>
  <c r="AG166" i="88" s="1"/>
  <c r="AI166" i="88" s="1"/>
  <c r="AP166" i="88" s="1"/>
  <c r="AQ166" i="88" s="1"/>
  <c r="AS166" i="88" s="1"/>
  <c r="AC159" i="88"/>
  <c r="AF159" i="88" s="1"/>
  <c r="AG159" i="88" s="1"/>
  <c r="AI159" i="88" s="1"/>
  <c r="AP159" i="88" s="1"/>
  <c r="AQ159" i="88" s="1"/>
  <c r="AC149" i="88"/>
  <c r="AF149" i="88" s="1"/>
  <c r="AG149" i="88" s="1"/>
  <c r="AI149" i="88" s="1"/>
  <c r="AP149" i="88" s="1"/>
  <c r="AQ149" i="88" s="1"/>
  <c r="AC116" i="88"/>
  <c r="AF116" i="88" s="1"/>
  <c r="AG116" i="88" s="1"/>
  <c r="AI116" i="88" s="1"/>
  <c r="AP116" i="88" s="1"/>
  <c r="AQ116" i="88" s="1"/>
  <c r="AS116" i="88" s="1"/>
  <c r="AC130" i="88"/>
  <c r="AF130" i="88" s="1"/>
  <c r="AG130" i="88" s="1"/>
  <c r="AI130" i="88" s="1"/>
  <c r="AP130" i="88" s="1"/>
  <c r="AQ130" i="88" s="1"/>
  <c r="AC62" i="88"/>
  <c r="AF62" i="88" s="1"/>
  <c r="AG62" i="88" s="1"/>
  <c r="AI62" i="88" s="1"/>
  <c r="AP62" i="88" s="1"/>
  <c r="AQ62" i="88" s="1"/>
  <c r="AS62" i="88" s="1"/>
  <c r="AC42" i="88"/>
  <c r="AF42" i="88" s="1"/>
  <c r="AG42" i="88" s="1"/>
  <c r="AI42" i="88" s="1"/>
  <c r="AP42" i="88" s="1"/>
  <c r="AQ42" i="88" s="1"/>
  <c r="AS42" i="88" s="1"/>
  <c r="AC81" i="88"/>
  <c r="AF81" i="88" s="1"/>
  <c r="AG81" i="88" s="1"/>
  <c r="AI81" i="88" s="1"/>
  <c r="AP81" i="88" s="1"/>
  <c r="AQ81" i="88" s="1"/>
  <c r="AS81" i="88" s="1"/>
  <c r="AC29" i="88"/>
  <c r="AF29" i="88" s="1"/>
  <c r="AG29" i="88" s="1"/>
  <c r="AI29" i="88" s="1"/>
  <c r="AP29" i="88" s="1"/>
  <c r="AQ29" i="88" s="1"/>
  <c r="AS29" i="88" s="1"/>
  <c r="AC164" i="88"/>
  <c r="AF164" i="88" s="1"/>
  <c r="AG164" i="88" s="1"/>
  <c r="AI164" i="88" s="1"/>
  <c r="AP164" i="88" s="1"/>
  <c r="AQ164" i="88" s="1"/>
  <c r="AC161" i="88"/>
  <c r="AF161" i="88" s="1"/>
  <c r="AG161" i="88" s="1"/>
  <c r="AI161" i="88" s="1"/>
  <c r="AP161" i="88" s="1"/>
  <c r="AQ161" i="88" s="1"/>
  <c r="AC142" i="88"/>
  <c r="AC134" i="88"/>
  <c r="AF134" i="88" s="1"/>
  <c r="AG134" i="88" s="1"/>
  <c r="AI134" i="88" s="1"/>
  <c r="AP134" i="88" s="1"/>
  <c r="AQ134" i="88" s="1"/>
  <c r="AC76" i="88"/>
  <c r="AF76" i="88" s="1"/>
  <c r="AG76" i="88" s="1"/>
  <c r="AI76" i="88" s="1"/>
  <c r="AP76" i="88" s="1"/>
  <c r="AQ76" i="88" s="1"/>
  <c r="AS76" i="88" s="1"/>
  <c r="AC104" i="88"/>
  <c r="AC98" i="88"/>
  <c r="AF98" i="88" s="1"/>
  <c r="AG98" i="88" s="1"/>
  <c r="AI98" i="88" s="1"/>
  <c r="AP98" i="88" s="1"/>
  <c r="AQ98" i="88" s="1"/>
  <c r="AS98" i="88" s="1"/>
  <c r="AC36" i="88"/>
  <c r="AF36" i="88" s="1"/>
  <c r="AG36" i="88" s="1"/>
  <c r="AI36" i="88" s="1"/>
  <c r="AP36" i="88" s="1"/>
  <c r="AQ36" i="88" s="1"/>
  <c r="AC60" i="88"/>
  <c r="AF60" i="88" s="1"/>
  <c r="AG60" i="88" s="1"/>
  <c r="AI60" i="88" s="1"/>
  <c r="AP60" i="88" s="1"/>
  <c r="AQ60" i="88" s="1"/>
  <c r="AC55" i="88"/>
  <c r="AF55" i="88" s="1"/>
  <c r="AG55" i="88" s="1"/>
  <c r="AI55" i="88" s="1"/>
  <c r="AP55" i="88" s="1"/>
  <c r="AQ55" i="88" s="1"/>
  <c r="AS55" i="88" s="1"/>
  <c r="AC178" i="88"/>
  <c r="AF178" i="88" s="1"/>
  <c r="AG178" i="88" s="1"/>
  <c r="AI178" i="88" s="1"/>
  <c r="AP178" i="88" s="1"/>
  <c r="AQ178" i="88" s="1"/>
  <c r="AS178" i="88" s="1"/>
  <c r="AC153" i="88"/>
  <c r="AF153" i="88" s="1"/>
  <c r="AG153" i="88" s="1"/>
  <c r="AI153" i="88" s="1"/>
  <c r="AP153" i="88" s="1"/>
  <c r="AQ153" i="88" s="1"/>
  <c r="AC144" i="88"/>
  <c r="AF144" i="88" s="1"/>
  <c r="AG144" i="88" s="1"/>
  <c r="AI144" i="88" s="1"/>
  <c r="AP144" i="88" s="1"/>
  <c r="AQ144" i="88" s="1"/>
  <c r="AS144" i="88" s="1"/>
  <c r="AC90" i="88"/>
  <c r="AF90" i="88" s="1"/>
  <c r="AG90" i="88" s="1"/>
  <c r="AI90" i="88" s="1"/>
  <c r="AP90" i="88" s="1"/>
  <c r="AQ90" i="88" s="1"/>
  <c r="AC138" i="88"/>
  <c r="AF138" i="88" s="1"/>
  <c r="AG138" i="88" s="1"/>
  <c r="AI138" i="88" s="1"/>
  <c r="AP138" i="88" s="1"/>
  <c r="AQ138" i="88" s="1"/>
  <c r="AC58" i="88"/>
  <c r="AF58" i="88" s="1"/>
  <c r="AG58" i="88" s="1"/>
  <c r="AI58" i="88" s="1"/>
  <c r="AP58" i="88" s="1"/>
  <c r="AQ58" i="88" s="1"/>
  <c r="AC155" i="88"/>
  <c r="AF155" i="88" s="1"/>
  <c r="AG155" i="88" s="1"/>
  <c r="AI155" i="88" s="1"/>
  <c r="AP155" i="88" s="1"/>
  <c r="AQ155" i="88" s="1"/>
  <c r="AC74" i="88"/>
  <c r="AF74" i="88" s="1"/>
  <c r="AG74" i="88" s="1"/>
  <c r="AI74" i="88" s="1"/>
  <c r="AP74" i="88" s="1"/>
  <c r="AQ74" i="88" s="1"/>
  <c r="AC86" i="88"/>
  <c r="AF86" i="88" s="1"/>
  <c r="AG86" i="88" s="1"/>
  <c r="AI86" i="88" s="1"/>
  <c r="AP86" i="88" s="1"/>
  <c r="AQ86" i="88" s="1"/>
  <c r="AC66" i="88"/>
  <c r="AF66" i="88" s="1"/>
  <c r="AG66" i="88" s="1"/>
  <c r="AI66" i="88" s="1"/>
  <c r="AP66" i="88" s="1"/>
  <c r="AQ66" i="88" s="1"/>
  <c r="AC57" i="88"/>
  <c r="AF57" i="88" s="1"/>
  <c r="AG57" i="88" s="1"/>
  <c r="AI57" i="88" s="1"/>
  <c r="AP57" i="88" s="1"/>
  <c r="AQ57" i="88" s="1"/>
  <c r="Q17" i="88"/>
  <c r="Y27" i="88"/>
  <c r="AC31" i="88"/>
  <c r="AF31" i="88" s="1"/>
  <c r="AG31" i="88" s="1"/>
  <c r="AI31" i="88" s="1"/>
  <c r="AP31" i="88" s="1"/>
  <c r="AQ31" i="88" s="1"/>
  <c r="AC43" i="88"/>
  <c r="AF43" i="88" s="1"/>
  <c r="AG43" i="88" s="1"/>
  <c r="AI43" i="88" s="1"/>
  <c r="AP43" i="88" s="1"/>
  <c r="AQ43" i="88" s="1"/>
  <c r="AF172" i="88"/>
  <c r="AG172" i="88" s="1"/>
  <c r="AI172" i="88" s="1"/>
  <c r="AP172" i="88" s="1"/>
  <c r="AQ172" i="88" s="1"/>
  <c r="AF104" i="88"/>
  <c r="AG104" i="88" s="1"/>
  <c r="AI104" i="88" s="1"/>
  <c r="AP104" i="88" s="1"/>
  <c r="AQ104" i="88" s="1"/>
  <c r="AC106" i="88"/>
  <c r="AF106" i="88" s="1"/>
  <c r="AG106" i="88" s="1"/>
  <c r="AI106" i="88" s="1"/>
  <c r="AP106" i="88" s="1"/>
  <c r="AQ106" i="88" s="1"/>
  <c r="AC52" i="88"/>
  <c r="AF52" i="88" s="1"/>
  <c r="AG52" i="88" s="1"/>
  <c r="AI52" i="88" s="1"/>
  <c r="AP52" i="88" s="1"/>
  <c r="AQ52" i="88" s="1"/>
  <c r="AP114" i="88"/>
  <c r="AQ114" i="88" s="1"/>
  <c r="AC193" i="88"/>
  <c r="AF193" i="88" s="1"/>
  <c r="AG193" i="88" s="1"/>
  <c r="AI193" i="88" s="1"/>
  <c r="AP193" i="88" s="1"/>
  <c r="AQ193" i="88" s="1"/>
  <c r="AC187" i="88"/>
  <c r="AF187" i="88" s="1"/>
  <c r="AG187" i="88" s="1"/>
  <c r="AI187" i="88" s="1"/>
  <c r="AP187" i="88" s="1"/>
  <c r="AQ187" i="88" s="1"/>
  <c r="AC185" i="88"/>
  <c r="AF185" i="88" s="1"/>
  <c r="AG185" i="88" s="1"/>
  <c r="AI185" i="88" s="1"/>
  <c r="AP185" i="88" s="1"/>
  <c r="AQ185" i="88" s="1"/>
  <c r="AC181" i="88"/>
  <c r="AF181" i="88" s="1"/>
  <c r="AG181" i="88" s="1"/>
  <c r="AI181" i="88" s="1"/>
  <c r="AP181" i="88" s="1"/>
  <c r="AQ181" i="88" s="1"/>
  <c r="AC171" i="88"/>
  <c r="AF171" i="88" s="1"/>
  <c r="AG171" i="88" s="1"/>
  <c r="AI171" i="88" s="1"/>
  <c r="AP171" i="88" s="1"/>
  <c r="AQ171" i="88" s="1"/>
  <c r="AC191" i="88"/>
  <c r="AF191" i="88" s="1"/>
  <c r="AG191" i="88" s="1"/>
  <c r="AI191" i="88" s="1"/>
  <c r="AP191" i="88" s="1"/>
  <c r="AQ191" i="88" s="1"/>
  <c r="AC183" i="88"/>
  <c r="AF183" i="88" s="1"/>
  <c r="AG183" i="88" s="1"/>
  <c r="AI183" i="88" s="1"/>
  <c r="AP183" i="88" s="1"/>
  <c r="AQ183" i="88" s="1"/>
  <c r="AC189" i="88"/>
  <c r="AF189" i="88" s="1"/>
  <c r="AG189" i="88" s="1"/>
  <c r="AI189" i="88" s="1"/>
  <c r="AP189" i="88" s="1"/>
  <c r="AQ189" i="88" s="1"/>
  <c r="AC175" i="88"/>
  <c r="AF175" i="88" s="1"/>
  <c r="AG175" i="88" s="1"/>
  <c r="AI175" i="88" s="1"/>
  <c r="AP175" i="88" s="1"/>
  <c r="AQ175" i="88" s="1"/>
  <c r="AC195" i="88"/>
  <c r="AF195" i="88" s="1"/>
  <c r="AG195" i="88" s="1"/>
  <c r="AI195" i="88" s="1"/>
  <c r="AP195" i="88" s="1"/>
  <c r="AQ195" i="88" s="1"/>
  <c r="AC179" i="88"/>
  <c r="AF179" i="88" s="1"/>
  <c r="AG179" i="88" s="1"/>
  <c r="AI179" i="88" s="1"/>
  <c r="AP179" i="88" s="1"/>
  <c r="AQ179" i="88" s="1"/>
  <c r="AC169" i="88"/>
  <c r="AF169" i="88" s="1"/>
  <c r="AG169" i="88" s="1"/>
  <c r="AI169" i="88" s="1"/>
  <c r="AP169" i="88" s="1"/>
  <c r="AQ169" i="88" s="1"/>
  <c r="AC163" i="88"/>
  <c r="AF163" i="88" s="1"/>
  <c r="AG163" i="88" s="1"/>
  <c r="AI163" i="88" s="1"/>
  <c r="AP163" i="88" s="1"/>
  <c r="AQ163" i="88" s="1"/>
  <c r="AC173" i="88"/>
  <c r="AF173" i="88" s="1"/>
  <c r="AG173" i="88" s="1"/>
  <c r="AI173" i="88" s="1"/>
  <c r="AP173" i="88" s="1"/>
  <c r="AQ173" i="88" s="1"/>
  <c r="AC167" i="88"/>
  <c r="AF167" i="88" s="1"/>
  <c r="AG167" i="88" s="1"/>
  <c r="AI167" i="88" s="1"/>
  <c r="AP167" i="88" s="1"/>
  <c r="AQ167" i="88" s="1"/>
  <c r="AC154" i="88"/>
  <c r="AF154" i="88" s="1"/>
  <c r="AG154" i="88" s="1"/>
  <c r="AI154" i="88" s="1"/>
  <c r="AP154" i="88" s="1"/>
  <c r="AQ154" i="88" s="1"/>
  <c r="AC143" i="88"/>
  <c r="AF143" i="88" s="1"/>
  <c r="AG143" i="88" s="1"/>
  <c r="AI143" i="88" s="1"/>
  <c r="AP143" i="88" s="1"/>
  <c r="AQ143" i="88" s="1"/>
  <c r="AC160" i="88"/>
  <c r="AF160" i="88" s="1"/>
  <c r="AG160" i="88" s="1"/>
  <c r="AI160" i="88" s="1"/>
  <c r="AP160" i="88" s="1"/>
  <c r="AQ160" i="88" s="1"/>
  <c r="AC152" i="88"/>
  <c r="AF152" i="88" s="1"/>
  <c r="AG152" i="88" s="1"/>
  <c r="AI152" i="88" s="1"/>
  <c r="AP152" i="88" s="1"/>
  <c r="AQ152" i="88" s="1"/>
  <c r="AC158" i="88"/>
  <c r="AF158" i="88" s="1"/>
  <c r="AG158" i="88" s="1"/>
  <c r="AI158" i="88" s="1"/>
  <c r="AP158" i="88" s="1"/>
  <c r="AQ158" i="88" s="1"/>
  <c r="AC150" i="88"/>
  <c r="AF150" i="88" s="1"/>
  <c r="AG150" i="88" s="1"/>
  <c r="AI150" i="88" s="1"/>
  <c r="AP150" i="88" s="1"/>
  <c r="AQ150" i="88" s="1"/>
  <c r="AC147" i="88"/>
  <c r="AF147" i="88" s="1"/>
  <c r="AG147" i="88" s="1"/>
  <c r="AI147" i="88" s="1"/>
  <c r="AP147" i="88" s="1"/>
  <c r="AQ147" i="88" s="1"/>
  <c r="AC165" i="88"/>
  <c r="AF165" i="88" s="1"/>
  <c r="AG165" i="88" s="1"/>
  <c r="AI165" i="88" s="1"/>
  <c r="AP165" i="88" s="1"/>
  <c r="AQ165" i="88" s="1"/>
  <c r="AC133" i="88"/>
  <c r="AF133" i="88" s="1"/>
  <c r="AG133" i="88" s="1"/>
  <c r="AI133" i="88" s="1"/>
  <c r="AP133" i="88" s="1"/>
  <c r="AQ133" i="88" s="1"/>
  <c r="AC156" i="88"/>
  <c r="AF156" i="88" s="1"/>
  <c r="AG156" i="88" s="1"/>
  <c r="AI156" i="88" s="1"/>
  <c r="AP156" i="88" s="1"/>
  <c r="AQ156" i="88" s="1"/>
  <c r="AC135" i="88"/>
  <c r="AF135" i="88" s="1"/>
  <c r="AG135" i="88" s="1"/>
  <c r="AI135" i="88" s="1"/>
  <c r="AP135" i="88" s="1"/>
  <c r="AQ135" i="88" s="1"/>
  <c r="AC137" i="88"/>
  <c r="AF137" i="88" s="1"/>
  <c r="AG137" i="88" s="1"/>
  <c r="AI137" i="88" s="1"/>
  <c r="AP137" i="88" s="1"/>
  <c r="AQ137" i="88" s="1"/>
  <c r="AC131" i="88"/>
  <c r="AF131" i="88" s="1"/>
  <c r="AG131" i="88" s="1"/>
  <c r="AI131" i="88" s="1"/>
  <c r="AP131" i="88" s="1"/>
  <c r="AQ131" i="88" s="1"/>
  <c r="AC139" i="88"/>
  <c r="AF139" i="88" s="1"/>
  <c r="AG139" i="88" s="1"/>
  <c r="AI139" i="88" s="1"/>
  <c r="AP139" i="88" s="1"/>
  <c r="AQ139" i="88" s="1"/>
  <c r="AC117" i="88"/>
  <c r="AF117" i="88" s="1"/>
  <c r="AG117" i="88" s="1"/>
  <c r="AI117" i="88" s="1"/>
  <c r="AP117" i="88" s="1"/>
  <c r="AQ117" i="88" s="1"/>
  <c r="AC141" i="88"/>
  <c r="AF141" i="88" s="1"/>
  <c r="AG141" i="88" s="1"/>
  <c r="AI141" i="88" s="1"/>
  <c r="AP141" i="88" s="1"/>
  <c r="AQ141" i="88" s="1"/>
  <c r="AC145" i="88"/>
  <c r="AF145" i="88" s="1"/>
  <c r="AG145" i="88" s="1"/>
  <c r="AI145" i="88" s="1"/>
  <c r="AP145" i="88" s="1"/>
  <c r="AQ145" i="88" s="1"/>
  <c r="AC123" i="88"/>
  <c r="AF123" i="88" s="1"/>
  <c r="AG123" i="88" s="1"/>
  <c r="AI123" i="88" s="1"/>
  <c r="AP123" i="88" s="1"/>
  <c r="AQ123" i="88" s="1"/>
  <c r="AC115" i="88"/>
  <c r="AF115" i="88" s="1"/>
  <c r="AG115" i="88" s="1"/>
  <c r="AI115" i="88" s="1"/>
  <c r="AP115" i="88" s="1"/>
  <c r="AQ115" i="88" s="1"/>
  <c r="AC105" i="88"/>
  <c r="AF105" i="88" s="1"/>
  <c r="AG105" i="88" s="1"/>
  <c r="AI105" i="88" s="1"/>
  <c r="AP105" i="88" s="1"/>
  <c r="AQ105" i="88" s="1"/>
  <c r="AC97" i="88"/>
  <c r="AF97" i="88" s="1"/>
  <c r="AG97" i="88" s="1"/>
  <c r="AI97" i="88" s="1"/>
  <c r="AP97" i="88" s="1"/>
  <c r="AQ97" i="88" s="1"/>
  <c r="AC89" i="88"/>
  <c r="AF89" i="88" s="1"/>
  <c r="AG89" i="88" s="1"/>
  <c r="AI89" i="88" s="1"/>
  <c r="AP89" i="88" s="1"/>
  <c r="AQ89" i="88" s="1"/>
  <c r="AC127" i="88"/>
  <c r="AF127" i="88" s="1"/>
  <c r="AG127" i="88" s="1"/>
  <c r="AI127" i="88" s="1"/>
  <c r="AP127" i="88" s="1"/>
  <c r="AQ127" i="88" s="1"/>
  <c r="AC125" i="88"/>
  <c r="AF125" i="88" s="1"/>
  <c r="AG125" i="88" s="1"/>
  <c r="AI125" i="88" s="1"/>
  <c r="AP125" i="88" s="1"/>
  <c r="AQ125" i="88" s="1"/>
  <c r="AC113" i="88"/>
  <c r="AF113" i="88" s="1"/>
  <c r="AG113" i="88" s="1"/>
  <c r="AI113" i="88" s="1"/>
  <c r="AP113" i="88" s="1"/>
  <c r="AQ113" i="88" s="1"/>
  <c r="AC121" i="88"/>
  <c r="AF121" i="88" s="1"/>
  <c r="AG121" i="88" s="1"/>
  <c r="AI121" i="88" s="1"/>
  <c r="AP121" i="88" s="1"/>
  <c r="AQ121" i="88" s="1"/>
  <c r="AC107" i="88"/>
  <c r="AF107" i="88" s="1"/>
  <c r="AG107" i="88" s="1"/>
  <c r="AI107" i="88" s="1"/>
  <c r="AP107" i="88" s="1"/>
  <c r="AQ107" i="88" s="1"/>
  <c r="AC99" i="88"/>
  <c r="AF99" i="88" s="1"/>
  <c r="AG99" i="88" s="1"/>
  <c r="AI99" i="88" s="1"/>
  <c r="AP99" i="88" s="1"/>
  <c r="AQ99" i="88" s="1"/>
  <c r="AC91" i="88"/>
  <c r="AF91" i="88" s="1"/>
  <c r="AG91" i="88" s="1"/>
  <c r="AI91" i="88" s="1"/>
  <c r="AP91" i="88" s="1"/>
  <c r="AQ91" i="88" s="1"/>
  <c r="AC83" i="88"/>
  <c r="AF83" i="88" s="1"/>
  <c r="AG83" i="88" s="1"/>
  <c r="AI83" i="88" s="1"/>
  <c r="AP83" i="88" s="1"/>
  <c r="AQ83" i="88" s="1"/>
  <c r="AC119" i="88"/>
  <c r="AF119" i="88" s="1"/>
  <c r="AG119" i="88" s="1"/>
  <c r="AI119" i="88" s="1"/>
  <c r="AP119" i="88" s="1"/>
  <c r="AQ119" i="88" s="1"/>
  <c r="AC109" i="88"/>
  <c r="AF109" i="88" s="1"/>
  <c r="AG109" i="88" s="1"/>
  <c r="AI109" i="88" s="1"/>
  <c r="AP109" i="88" s="1"/>
  <c r="AQ109" i="88" s="1"/>
  <c r="AC101" i="88"/>
  <c r="AF101" i="88" s="1"/>
  <c r="AG101" i="88" s="1"/>
  <c r="AI101" i="88" s="1"/>
  <c r="AP101" i="88" s="1"/>
  <c r="AQ101" i="88" s="1"/>
  <c r="AC93" i="88"/>
  <c r="AF93" i="88" s="1"/>
  <c r="AG93" i="88" s="1"/>
  <c r="AI93" i="88" s="1"/>
  <c r="AP93" i="88" s="1"/>
  <c r="AQ93" i="88" s="1"/>
  <c r="AC85" i="88"/>
  <c r="AF85" i="88" s="1"/>
  <c r="AG85" i="88" s="1"/>
  <c r="AI85" i="88" s="1"/>
  <c r="AP85" i="88" s="1"/>
  <c r="AQ85" i="88" s="1"/>
  <c r="AC111" i="88"/>
  <c r="AF111" i="88" s="1"/>
  <c r="AG111" i="88" s="1"/>
  <c r="AI111" i="88" s="1"/>
  <c r="AP111" i="88" s="1"/>
  <c r="AQ111" i="88" s="1"/>
  <c r="AC103" i="88"/>
  <c r="AF103" i="88" s="1"/>
  <c r="AG103" i="88" s="1"/>
  <c r="AI103" i="88" s="1"/>
  <c r="AP103" i="88" s="1"/>
  <c r="AQ103" i="88" s="1"/>
  <c r="AC95" i="88"/>
  <c r="AF95" i="88" s="1"/>
  <c r="AG95" i="88" s="1"/>
  <c r="AI95" i="88" s="1"/>
  <c r="AP95" i="88" s="1"/>
  <c r="AQ95" i="88" s="1"/>
  <c r="AC87" i="88"/>
  <c r="AF87" i="88" s="1"/>
  <c r="AG87" i="88" s="1"/>
  <c r="AI87" i="88" s="1"/>
  <c r="AP87" i="88" s="1"/>
  <c r="AQ87" i="88" s="1"/>
  <c r="AC51" i="88"/>
  <c r="AF51" i="88" s="1"/>
  <c r="AG51" i="88" s="1"/>
  <c r="AI51" i="88" s="1"/>
  <c r="AP51" i="88" s="1"/>
  <c r="AQ51" i="88" s="1"/>
  <c r="AC129" i="88"/>
  <c r="AF129" i="88" s="1"/>
  <c r="AG129" i="88" s="1"/>
  <c r="AI129" i="88" s="1"/>
  <c r="AP129" i="88" s="1"/>
  <c r="AQ129" i="88" s="1"/>
  <c r="AC54" i="88"/>
  <c r="AF54" i="88" s="1"/>
  <c r="AG54" i="88" s="1"/>
  <c r="AI54" i="88" s="1"/>
  <c r="AP54" i="88" s="1"/>
  <c r="AQ54" i="88" s="1"/>
  <c r="AC49" i="88"/>
  <c r="AF49" i="88" s="1"/>
  <c r="AG49" i="88" s="1"/>
  <c r="AI49" i="88" s="1"/>
  <c r="AP49" i="88" s="1"/>
  <c r="AQ49" i="88" s="1"/>
  <c r="AC46" i="88"/>
  <c r="AF46" i="88" s="1"/>
  <c r="AG46" i="88" s="1"/>
  <c r="AI46" i="88" s="1"/>
  <c r="AP46" i="88" s="1"/>
  <c r="AQ46" i="88" s="1"/>
  <c r="AC34" i="88"/>
  <c r="AF34" i="88" s="1"/>
  <c r="AG34" i="88" s="1"/>
  <c r="AI34" i="88" s="1"/>
  <c r="AP34" i="88" s="1"/>
  <c r="AQ34" i="88" s="1"/>
  <c r="AC35" i="88"/>
  <c r="AF35" i="88" s="1"/>
  <c r="AG35" i="88" s="1"/>
  <c r="AI35" i="88" s="1"/>
  <c r="AP35" i="88" s="1"/>
  <c r="AQ35" i="88" s="1"/>
  <c r="AC32" i="88"/>
  <c r="AF32" i="88" s="1"/>
  <c r="AG32" i="88" s="1"/>
  <c r="AI32" i="88" s="1"/>
  <c r="AP32" i="88" s="1"/>
  <c r="AQ32" i="88" s="1"/>
  <c r="AC48" i="88"/>
  <c r="AF48" i="88" s="1"/>
  <c r="AG48" i="88" s="1"/>
  <c r="AI48" i="88" s="1"/>
  <c r="AP48" i="88" s="1"/>
  <c r="AQ48" i="88" s="1"/>
  <c r="AC47" i="88"/>
  <c r="AF47" i="88" s="1"/>
  <c r="AG47" i="88" s="1"/>
  <c r="AI47" i="88" s="1"/>
  <c r="AP47" i="88" s="1"/>
  <c r="AQ47" i="88" s="1"/>
  <c r="AC71" i="88"/>
  <c r="AF71" i="88" s="1"/>
  <c r="AG71" i="88" s="1"/>
  <c r="AI71" i="88" s="1"/>
  <c r="AP71" i="88" s="1"/>
  <c r="AQ71" i="88" s="1"/>
  <c r="AC67" i="88"/>
  <c r="AF67" i="88" s="1"/>
  <c r="AG67" i="88" s="1"/>
  <c r="AI67" i="88" s="1"/>
  <c r="AP67" i="88" s="1"/>
  <c r="AQ67" i="88" s="1"/>
  <c r="AC50" i="88"/>
  <c r="AF50" i="88" s="1"/>
  <c r="AG50" i="88" s="1"/>
  <c r="AI50" i="88" s="1"/>
  <c r="AP50" i="88" s="1"/>
  <c r="AQ50" i="88" s="1"/>
  <c r="AC72" i="88"/>
  <c r="AF72" i="88" s="1"/>
  <c r="AG72" i="88" s="1"/>
  <c r="AI72" i="88" s="1"/>
  <c r="AP72" i="88" s="1"/>
  <c r="AQ72" i="88" s="1"/>
  <c r="AC188" i="88"/>
  <c r="AF188" i="88" s="1"/>
  <c r="AG188" i="88" s="1"/>
  <c r="AI188" i="88" s="1"/>
  <c r="AP188" i="88" s="1"/>
  <c r="AQ188" i="88" s="1"/>
  <c r="AC182" i="88"/>
  <c r="AF182" i="88" s="1"/>
  <c r="AG182" i="88" s="1"/>
  <c r="AI182" i="88" s="1"/>
  <c r="AP182" i="88" s="1"/>
  <c r="AQ182" i="88" s="1"/>
  <c r="AC168" i="88"/>
  <c r="AF168" i="88" s="1"/>
  <c r="AG168" i="88" s="1"/>
  <c r="AI168" i="88" s="1"/>
  <c r="AP168" i="88" s="1"/>
  <c r="AQ168" i="88" s="1"/>
  <c r="AP162" i="88"/>
  <c r="AQ162" i="88" s="1"/>
  <c r="AC148" i="88"/>
  <c r="AF148" i="88" s="1"/>
  <c r="AG148" i="88" s="1"/>
  <c r="AI148" i="88" s="1"/>
  <c r="AP148" i="88" s="1"/>
  <c r="AQ148" i="88" s="1"/>
  <c r="AC122" i="88"/>
  <c r="AF122" i="88" s="1"/>
  <c r="AG122" i="88" s="1"/>
  <c r="AI122" i="88" s="1"/>
  <c r="AP122" i="88" s="1"/>
  <c r="AQ122" i="88" s="1"/>
  <c r="AC108" i="88"/>
  <c r="AF108" i="88" s="1"/>
  <c r="AG108" i="88" s="1"/>
  <c r="AI108" i="88" s="1"/>
  <c r="AP108" i="88" s="1"/>
  <c r="AQ108" i="88" s="1"/>
  <c r="AC92" i="88"/>
  <c r="AF92" i="88" s="1"/>
  <c r="AG92" i="88" s="1"/>
  <c r="AI92" i="88" s="1"/>
  <c r="AP92" i="88" s="1"/>
  <c r="AQ92" i="88" s="1"/>
  <c r="AC64" i="88"/>
  <c r="AF64" i="88" s="1"/>
  <c r="AG64" i="88" s="1"/>
  <c r="AI64" i="88" s="1"/>
  <c r="AP64" i="88" s="1"/>
  <c r="AQ64" i="88" s="1"/>
  <c r="AC63" i="88"/>
  <c r="AF63" i="88" s="1"/>
  <c r="AG63" i="88" s="1"/>
  <c r="AI63" i="88" s="1"/>
  <c r="AP63" i="88" s="1"/>
  <c r="AQ63" i="88" s="1"/>
  <c r="AC37" i="88"/>
  <c r="AF37" i="88" s="1"/>
  <c r="AG37" i="88" s="1"/>
  <c r="AI37" i="88" s="1"/>
  <c r="AP37" i="88" s="1"/>
  <c r="AQ37" i="88" s="1"/>
  <c r="AC38" i="88"/>
  <c r="AF38" i="88" s="1"/>
  <c r="AG38" i="88" s="1"/>
  <c r="AI38" i="88" s="1"/>
  <c r="AP38" i="88" s="1"/>
  <c r="AQ38" i="88" s="1"/>
  <c r="AF142" i="88"/>
  <c r="AG142" i="88" s="1"/>
  <c r="AI142" i="88" s="1"/>
  <c r="AP142" i="88" s="1"/>
  <c r="AQ142" i="88" s="1"/>
  <c r="AC68" i="88"/>
  <c r="AF68" i="88" s="1"/>
  <c r="AG68" i="88" s="1"/>
  <c r="AI68" i="88" s="1"/>
  <c r="AP68" i="88" s="1"/>
  <c r="AQ68" i="88" s="1"/>
  <c r="AC39" i="88"/>
  <c r="AF39" i="88" s="1"/>
  <c r="AG39" i="88" s="1"/>
  <c r="AI39" i="88" s="1"/>
  <c r="AP39" i="88" s="1"/>
  <c r="AQ39" i="88" s="1"/>
  <c r="AC44" i="88"/>
  <c r="AF44" i="88" s="1"/>
  <c r="AG44" i="88" s="1"/>
  <c r="AI44" i="88" s="1"/>
  <c r="AP44" i="88" s="1"/>
  <c r="AQ44" i="88" s="1"/>
  <c r="AF41" i="88"/>
  <c r="AG41" i="88" s="1"/>
  <c r="AI41" i="88" s="1"/>
  <c r="AP41" i="88" s="1"/>
  <c r="AQ41" i="88" s="1"/>
  <c r="AF174" i="88"/>
  <c r="AG174" i="88" s="1"/>
  <c r="AI174" i="88" s="1"/>
  <c r="AP174" i="88" s="1"/>
  <c r="AQ174" i="88" s="1"/>
  <c r="AC84" i="88"/>
  <c r="AF84" i="88" s="1"/>
  <c r="AG84" i="88" s="1"/>
  <c r="AI84" i="88" s="1"/>
  <c r="AP84" i="88" s="1"/>
  <c r="AQ84" i="88" s="1"/>
  <c r="AC33" i="88"/>
  <c r="AF33" i="88" s="1"/>
  <c r="AG33" i="88" s="1"/>
  <c r="AI33" i="88" s="1"/>
  <c r="AP33" i="88" s="1"/>
  <c r="AQ33" i="88" s="1"/>
  <c r="P17" i="88"/>
  <c r="AC28" i="88"/>
  <c r="AF28" i="88" s="1"/>
  <c r="AG28" i="88" s="1"/>
  <c r="AI28" i="88" s="1"/>
  <c r="AP28" i="88" s="1"/>
  <c r="AQ28" i="88" s="1"/>
  <c r="AS28" i="88" s="1"/>
  <c r="AC69" i="88"/>
  <c r="AF69" i="88" s="1"/>
  <c r="AG69" i="88" s="1"/>
  <c r="AI69" i="88" s="1"/>
  <c r="AP69" i="88" s="1"/>
  <c r="AQ69" i="88" s="1"/>
  <c r="AC45" i="88"/>
  <c r="AF45" i="88" s="1"/>
  <c r="AG45" i="88" s="1"/>
  <c r="AI45" i="88" s="1"/>
  <c r="AP45" i="88" s="1"/>
  <c r="AQ45" i="88" s="1"/>
  <c r="AV109" i="88" l="1"/>
  <c r="AU153" i="88"/>
  <c r="AU97" i="88"/>
  <c r="AV43" i="88"/>
  <c r="AV159" i="88"/>
  <c r="AV187" i="88"/>
  <c r="AV176" i="88"/>
  <c r="AV133" i="88"/>
  <c r="AV137" i="88"/>
  <c r="AU82" i="88"/>
  <c r="AV129" i="88"/>
  <c r="AU92" i="88"/>
  <c r="AV195" i="88"/>
  <c r="AU155" i="88"/>
  <c r="AS37" i="88"/>
  <c r="AV60" i="88"/>
  <c r="AV147" i="88"/>
  <c r="AV38" i="88"/>
  <c r="AU149" i="88"/>
  <c r="AV189" i="88"/>
  <c r="AS164" i="88"/>
  <c r="AV31" i="88"/>
  <c r="AV50" i="88"/>
  <c r="AU184" i="88"/>
  <c r="AV83" i="88"/>
  <c r="AV93" i="88"/>
  <c r="AV156" i="88"/>
  <c r="AU174" i="88"/>
  <c r="AS148" i="88"/>
  <c r="AU86" i="88"/>
  <c r="AV86" i="88"/>
  <c r="AS86" i="88"/>
  <c r="AS38" i="88"/>
  <c r="AS50" i="88"/>
  <c r="AU132" i="88"/>
  <c r="AV132" i="88"/>
  <c r="AS132" i="88"/>
  <c r="AS49" i="88"/>
  <c r="AS46" i="88"/>
  <c r="AS174" i="88"/>
  <c r="AU159" i="88"/>
  <c r="AS159" i="88"/>
  <c r="AS48" i="88"/>
  <c r="AS122" i="88"/>
  <c r="AV32" i="88"/>
  <c r="AU32" i="88"/>
  <c r="AS32" i="88"/>
  <c r="AS165" i="88"/>
  <c r="AS183" i="88"/>
  <c r="AS58" i="88"/>
  <c r="AS57" i="88"/>
  <c r="AS45" i="88"/>
  <c r="AV45" i="88"/>
  <c r="AU45" i="88"/>
  <c r="AS87" i="88"/>
  <c r="AV127" i="88"/>
  <c r="AU127" i="88"/>
  <c r="AS127" i="88"/>
  <c r="AS147" i="88"/>
  <c r="AS44" i="88"/>
  <c r="AV54" i="88"/>
  <c r="AU54" i="88"/>
  <c r="AS54" i="88"/>
  <c r="AS31" i="88"/>
  <c r="AC17" i="88"/>
  <c r="AS157" i="88"/>
  <c r="AS35" i="88"/>
  <c r="AS83" i="88"/>
  <c r="AV89" i="88"/>
  <c r="AS89" i="88"/>
  <c r="AU89" i="88"/>
  <c r="AS139" i="88"/>
  <c r="AS150" i="88"/>
  <c r="AV163" i="88"/>
  <c r="AU163" i="88"/>
  <c r="AS163" i="88"/>
  <c r="AS171" i="88"/>
  <c r="AV36" i="88"/>
  <c r="AS36" i="88"/>
  <c r="AU36" i="88"/>
  <c r="AS155" i="88"/>
  <c r="AS125" i="88"/>
  <c r="AS110" i="88"/>
  <c r="AU84" i="88"/>
  <c r="AV84" i="88"/>
  <c r="AS84" i="88"/>
  <c r="AF17" i="88"/>
  <c r="AG27" i="88"/>
  <c r="AS117" i="88"/>
  <c r="AV173" i="88"/>
  <c r="AU173" i="88"/>
  <c r="AS173" i="88"/>
  <c r="AS94" i="88"/>
  <c r="AS74" i="88"/>
  <c r="AV69" i="88"/>
  <c r="AS69" i="88"/>
  <c r="AU69" i="88"/>
  <c r="AS102" i="88"/>
  <c r="AS40" i="88"/>
  <c r="AS138" i="88"/>
  <c r="AS162" i="88"/>
  <c r="AS72" i="88"/>
  <c r="AS91" i="88"/>
  <c r="AV97" i="88"/>
  <c r="AS97" i="88"/>
  <c r="AS131" i="88"/>
  <c r="AS158" i="88"/>
  <c r="AV181" i="88"/>
  <c r="AU181" i="88"/>
  <c r="AS181" i="88"/>
  <c r="AS82" i="88"/>
  <c r="AS56" i="88"/>
  <c r="AU134" i="88"/>
  <c r="AV134" i="88"/>
  <c r="AS134" i="88"/>
  <c r="AU188" i="88"/>
  <c r="AV188" i="88"/>
  <c r="AS188" i="88"/>
  <c r="AS126" i="88"/>
  <c r="AS168" i="88"/>
  <c r="AS111" i="88"/>
  <c r="AS99" i="88"/>
  <c r="AS105" i="88"/>
  <c r="AS137" i="88"/>
  <c r="AS152" i="88"/>
  <c r="AS179" i="88"/>
  <c r="AS185" i="88"/>
  <c r="AS153" i="88"/>
  <c r="Y17" i="88"/>
  <c r="AS151" i="88"/>
  <c r="AS34" i="88"/>
  <c r="AU109" i="88"/>
  <c r="AS109" i="88"/>
  <c r="AS112" i="88"/>
  <c r="AS39" i="88"/>
  <c r="AU39" i="88"/>
  <c r="AV39" i="88"/>
  <c r="AS64" i="88"/>
  <c r="AS67" i="88"/>
  <c r="AS107" i="88"/>
  <c r="AV115" i="88"/>
  <c r="AU115" i="88"/>
  <c r="AS115" i="88"/>
  <c r="AS160" i="88"/>
  <c r="AS195" i="88"/>
  <c r="AS187" i="88"/>
  <c r="AS176" i="88"/>
  <c r="AU176" i="88"/>
  <c r="AS104" i="88"/>
  <c r="AS184" i="88"/>
  <c r="AS51" i="88"/>
  <c r="AS33" i="88"/>
  <c r="AS149" i="88"/>
  <c r="AS124" i="88"/>
  <c r="AS68" i="88"/>
  <c r="AS146" i="88"/>
  <c r="AS92" i="88"/>
  <c r="AV170" i="88"/>
  <c r="AU170" i="88"/>
  <c r="AS170" i="88"/>
  <c r="AS71" i="88"/>
  <c r="AS93" i="88"/>
  <c r="AS123" i="88"/>
  <c r="AS156" i="88"/>
  <c r="AV143" i="88"/>
  <c r="AU143" i="88"/>
  <c r="AS143" i="88"/>
  <c r="AS175" i="88"/>
  <c r="AS193" i="88"/>
  <c r="AS186" i="88"/>
  <c r="AS66" i="88"/>
  <c r="AS194" i="88"/>
  <c r="AV164" i="88"/>
  <c r="AU164" i="88"/>
  <c r="AS141" i="88"/>
  <c r="AS192" i="88"/>
  <c r="AS108" i="88"/>
  <c r="AS47" i="88"/>
  <c r="AU129" i="88"/>
  <c r="AS129" i="88"/>
  <c r="AS101" i="88"/>
  <c r="AV113" i="88"/>
  <c r="AS113" i="88"/>
  <c r="AU113" i="88"/>
  <c r="AS145" i="88"/>
  <c r="AS133" i="88"/>
  <c r="AS154" i="88"/>
  <c r="AS52" i="88"/>
  <c r="AS30" i="88"/>
  <c r="AS118" i="88"/>
  <c r="AV184" i="88" l="1"/>
  <c r="AW184" i="88" s="1"/>
  <c r="AX184" i="88" s="1"/>
  <c r="AU38" i="88"/>
  <c r="AW38" i="88" s="1"/>
  <c r="AX38" i="88" s="1"/>
  <c r="AU133" i="88"/>
  <c r="AV82" i="88"/>
  <c r="AW82" i="88" s="1"/>
  <c r="AX82" i="88" s="1"/>
  <c r="AV153" i="88"/>
  <c r="AS43" i="88"/>
  <c r="AU195" i="88"/>
  <c r="AW195" i="88" s="1"/>
  <c r="AX195" i="88" s="1"/>
  <c r="AU31" i="88"/>
  <c r="AW31" i="88" s="1"/>
  <c r="AX31" i="88" s="1"/>
  <c r="AV155" i="88"/>
  <c r="AW155" i="88" s="1"/>
  <c r="AX155" i="88" s="1"/>
  <c r="AV92" i="88"/>
  <c r="AW92" i="88" s="1"/>
  <c r="AX92" i="88" s="1"/>
  <c r="AV174" i="88"/>
  <c r="AW174" i="88" s="1"/>
  <c r="AX174" i="88" s="1"/>
  <c r="AU146" i="88"/>
  <c r="AV146" i="88"/>
  <c r="AV71" i="88"/>
  <c r="AU71" i="88"/>
  <c r="AS161" i="88"/>
  <c r="AV161" i="88"/>
  <c r="AU161" i="88"/>
  <c r="AV183" i="88"/>
  <c r="AU183" i="88"/>
  <c r="AU81" i="88"/>
  <c r="AV81" i="88"/>
  <c r="AV149" i="88"/>
  <c r="AW149" i="88" s="1"/>
  <c r="AX149" i="88" s="1"/>
  <c r="AU187" i="88"/>
  <c r="AW187" i="88" s="1"/>
  <c r="AX187" i="88" s="1"/>
  <c r="AU70" i="88"/>
  <c r="AS70" i="88"/>
  <c r="AV70" i="88"/>
  <c r="AU79" i="88"/>
  <c r="AV79" i="88"/>
  <c r="AU156" i="88"/>
  <c r="AW156" i="88" s="1"/>
  <c r="AX156" i="88" s="1"/>
  <c r="AU137" i="88"/>
  <c r="AW137" i="88" s="1"/>
  <c r="AX137" i="88" s="1"/>
  <c r="AV144" i="88"/>
  <c r="AU144" i="88"/>
  <c r="AV78" i="88"/>
  <c r="AU78" i="88"/>
  <c r="AS189" i="88"/>
  <c r="AU60" i="88"/>
  <c r="AW60" i="88" s="1"/>
  <c r="AX60" i="88" s="1"/>
  <c r="AV37" i="88"/>
  <c r="AU147" i="88"/>
  <c r="AW147" i="88" s="1"/>
  <c r="AX147" i="88" s="1"/>
  <c r="AU88" i="88"/>
  <c r="AV88" i="88"/>
  <c r="AS88" i="88"/>
  <c r="AU62" i="88"/>
  <c r="AV62" i="88"/>
  <c r="AU189" i="88"/>
  <c r="AW189" i="88" s="1"/>
  <c r="AX189" i="88" s="1"/>
  <c r="AS60" i="88"/>
  <c r="AU93" i="88"/>
  <c r="AW93" i="88" s="1"/>
  <c r="AX93" i="88" s="1"/>
  <c r="AU83" i="88"/>
  <c r="AW83" i="88" s="1"/>
  <c r="AX83" i="88" s="1"/>
  <c r="AU37" i="88"/>
  <c r="AU96" i="88"/>
  <c r="AV96" i="88"/>
  <c r="AU43" i="88"/>
  <c r="AW43" i="88" s="1"/>
  <c r="AX43" i="88" s="1"/>
  <c r="AU50" i="88"/>
  <c r="AW50" i="88" s="1"/>
  <c r="AX50" i="88" s="1"/>
  <c r="AU178" i="88"/>
  <c r="AV178" i="88"/>
  <c r="AU98" i="88"/>
  <c r="AV98" i="88"/>
  <c r="AU190" i="88"/>
  <c r="AS190" i="88"/>
  <c r="AV190" i="88"/>
  <c r="AW84" i="88"/>
  <c r="AX84" i="88"/>
  <c r="AW89" i="88"/>
  <c r="AX89" i="88" s="1"/>
  <c r="AW45" i="88"/>
  <c r="AX45" i="88" s="1"/>
  <c r="AW113" i="88"/>
  <c r="AX113" i="88" s="1"/>
  <c r="AW164" i="88"/>
  <c r="AX164" i="88" s="1"/>
  <c r="AW134" i="88"/>
  <c r="AX134" i="88" s="1"/>
  <c r="AW188" i="88"/>
  <c r="AX188" i="88" s="1"/>
  <c r="AW69" i="88"/>
  <c r="AX69" i="88" s="1"/>
  <c r="AW127" i="88"/>
  <c r="AX127" i="88" s="1"/>
  <c r="AW39" i="88"/>
  <c r="AX39" i="88" s="1"/>
  <c r="AW97" i="88"/>
  <c r="AX97" i="88" s="1"/>
  <c r="AW86" i="88"/>
  <c r="AX86" i="88" s="1"/>
  <c r="AW133" i="88"/>
  <c r="AX133" i="88" s="1"/>
  <c r="AW153" i="88"/>
  <c r="AX153" i="88" s="1"/>
  <c r="AW181" i="88"/>
  <c r="AX181" i="88" s="1"/>
  <c r="AW159" i="88"/>
  <c r="AX159" i="88" s="1"/>
  <c r="AW143" i="88"/>
  <c r="AX143" i="88" s="1"/>
  <c r="AW176" i="88"/>
  <c r="AX176" i="88" s="1"/>
  <c r="AW54" i="88"/>
  <c r="AX54" i="88" s="1"/>
  <c r="AW32" i="88"/>
  <c r="AX32" i="88" s="1"/>
  <c r="AW129" i="88"/>
  <c r="AX129" i="88" s="1"/>
  <c r="AW163" i="88"/>
  <c r="AX163" i="88" s="1"/>
  <c r="AW115" i="88"/>
  <c r="AX115" i="88" s="1"/>
  <c r="AW109" i="88"/>
  <c r="AX109" i="88" s="1"/>
  <c r="AG17" i="88"/>
  <c r="AI27" i="88"/>
  <c r="AP27" i="88" s="1"/>
  <c r="AW170" i="88"/>
  <c r="AX170" i="88" s="1"/>
  <c r="AW173" i="88"/>
  <c r="AX173" i="88" s="1"/>
  <c r="AW36" i="88"/>
  <c r="AX36" i="88" s="1"/>
  <c r="AW132" i="88"/>
  <c r="AX132" i="88" s="1"/>
  <c r="AW98" i="88" l="1"/>
  <c r="AX98" i="88" s="1"/>
  <c r="AW146" i="88"/>
  <c r="AX146" i="88" s="1"/>
  <c r="AY146" i="88" s="1"/>
  <c r="AW178" i="88"/>
  <c r="AX178" i="88" s="1"/>
  <c r="AY195" i="88"/>
  <c r="AY32" i="88"/>
  <c r="AY147" i="88"/>
  <c r="AY54" i="88"/>
  <c r="AY60" i="88"/>
  <c r="AW71" i="88"/>
  <c r="AX71" i="88" s="1"/>
  <c r="AY98" i="88"/>
  <c r="AY86" i="88"/>
  <c r="AY155" i="88"/>
  <c r="AY84" i="88"/>
  <c r="AY176" i="88"/>
  <c r="AY97" i="88"/>
  <c r="AY36" i="88"/>
  <c r="AY127" i="88"/>
  <c r="AY45" i="88"/>
  <c r="AY129" i="88"/>
  <c r="AY43" i="88"/>
  <c r="AY39" i="88"/>
  <c r="AY173" i="88"/>
  <c r="AY69" i="88"/>
  <c r="AY93" i="88"/>
  <c r="AY89" i="88"/>
  <c r="AY153" i="88"/>
  <c r="AY133" i="88"/>
  <c r="AY132" i="88"/>
  <c r="AY170" i="88"/>
  <c r="AY187" i="88"/>
  <c r="AY82" i="88"/>
  <c r="AY163" i="88"/>
  <c r="AY137" i="88"/>
  <c r="AY92" i="88"/>
  <c r="AY188" i="88"/>
  <c r="AY134" i="88"/>
  <c r="AY189" i="88"/>
  <c r="AY149" i="88"/>
  <c r="AY143" i="88"/>
  <c r="AY178" i="88"/>
  <c r="AY50" i="88"/>
  <c r="AY164" i="88"/>
  <c r="AY38" i="88"/>
  <c r="AY115" i="88"/>
  <c r="AY159" i="88"/>
  <c r="AY83" i="88"/>
  <c r="AY181" i="88"/>
  <c r="AY174" i="88"/>
  <c r="AY156" i="88"/>
  <c r="AY31" i="88"/>
  <c r="AY109" i="88"/>
  <c r="AY113" i="88"/>
  <c r="AY184" i="88"/>
  <c r="AW79" i="88"/>
  <c r="AX79" i="88" s="1"/>
  <c r="AW70" i="88"/>
  <c r="AX70" i="88" s="1"/>
  <c r="AW183" i="88"/>
  <c r="AX183" i="88" s="1"/>
  <c r="AW78" i="88"/>
  <c r="AX78" i="88" s="1"/>
  <c r="AW37" i="88"/>
  <c r="AX37" i="88" s="1"/>
  <c r="AW88" i="88"/>
  <c r="AX88" i="88" s="1"/>
  <c r="AV150" i="88"/>
  <c r="AU150" i="88"/>
  <c r="AV65" i="88"/>
  <c r="AU65" i="88"/>
  <c r="AU40" i="88"/>
  <c r="AV40" i="88"/>
  <c r="AU28" i="88"/>
  <c r="AV28" i="88"/>
  <c r="AU152" i="88"/>
  <c r="AV152" i="88"/>
  <c r="AV94" i="88"/>
  <c r="AU94" i="88"/>
  <c r="AV172" i="88"/>
  <c r="AU172" i="88"/>
  <c r="AS172" i="88"/>
  <c r="AV162" i="88"/>
  <c r="AU162" i="88"/>
  <c r="AV68" i="88"/>
  <c r="AU68" i="88"/>
  <c r="AV72" i="88"/>
  <c r="AU72" i="88"/>
  <c r="AV75" i="88"/>
  <c r="AS75" i="88"/>
  <c r="AU75" i="88"/>
  <c r="AV194" i="88"/>
  <c r="AU194" i="88"/>
  <c r="AU168" i="88"/>
  <c r="AV168" i="88"/>
  <c r="AU148" i="88"/>
  <c r="AV148" i="88"/>
  <c r="AV105" i="88"/>
  <c r="AU105" i="88"/>
  <c r="AS63" i="88"/>
  <c r="AV63" i="88"/>
  <c r="AU63" i="88"/>
  <c r="AV56" i="88"/>
  <c r="AU56" i="88"/>
  <c r="AV160" i="88"/>
  <c r="AU160" i="88"/>
  <c r="AU186" i="88"/>
  <c r="AV186" i="88"/>
  <c r="AV175" i="88"/>
  <c r="AU175" i="88"/>
  <c r="AU67" i="88"/>
  <c r="AV67" i="88"/>
  <c r="AV124" i="88"/>
  <c r="AU124" i="88"/>
  <c r="AU107" i="88"/>
  <c r="AV107" i="88"/>
  <c r="AV35" i="88"/>
  <c r="AU35" i="88"/>
  <c r="AV103" i="88"/>
  <c r="AU103" i="88"/>
  <c r="AS103" i="88"/>
  <c r="AU126" i="88"/>
  <c r="AV126" i="88"/>
  <c r="AW96" i="88"/>
  <c r="AX96" i="88" s="1"/>
  <c r="AU128" i="88"/>
  <c r="AV128" i="88"/>
  <c r="AV139" i="88"/>
  <c r="AU139" i="88"/>
  <c r="AU158" i="88"/>
  <c r="AV158" i="88"/>
  <c r="AV76" i="88"/>
  <c r="AU76" i="88"/>
  <c r="AV44" i="88"/>
  <c r="AU44" i="88"/>
  <c r="AV101" i="88"/>
  <c r="AU101" i="88"/>
  <c r="AU130" i="88"/>
  <c r="AV130" i="88"/>
  <c r="AS130" i="88"/>
  <c r="AU48" i="88"/>
  <c r="AV48" i="88"/>
  <c r="AS90" i="88"/>
  <c r="AU90" i="88"/>
  <c r="AV90" i="88"/>
  <c r="AV141" i="88"/>
  <c r="AU141" i="88"/>
  <c r="AU136" i="88"/>
  <c r="AV136" i="88"/>
  <c r="AV145" i="88"/>
  <c r="AU145" i="88"/>
  <c r="AU53" i="88"/>
  <c r="AV53" i="88"/>
  <c r="AU169" i="88"/>
  <c r="AS169" i="88"/>
  <c r="AV169" i="88"/>
  <c r="AU114" i="88"/>
  <c r="AS114" i="88"/>
  <c r="AV114" i="88"/>
  <c r="AV64" i="88"/>
  <c r="AU64" i="88"/>
  <c r="AW161" i="88"/>
  <c r="AX161" i="88" s="1"/>
  <c r="AU171" i="88"/>
  <c r="AV171" i="88"/>
  <c r="AU80" i="88"/>
  <c r="AV80" i="88"/>
  <c r="AV165" i="88"/>
  <c r="AU165" i="88"/>
  <c r="AU192" i="88"/>
  <c r="AV192" i="88"/>
  <c r="AV74" i="88"/>
  <c r="AU74" i="88"/>
  <c r="AV52" i="88"/>
  <c r="AU52" i="88"/>
  <c r="AS41" i="88"/>
  <c r="AU41" i="88"/>
  <c r="AV41" i="88"/>
  <c r="AU108" i="88"/>
  <c r="AV108" i="88"/>
  <c r="AU116" i="88"/>
  <c r="AV116" i="88"/>
  <c r="AS106" i="88"/>
  <c r="AU106" i="88"/>
  <c r="AV106" i="88"/>
  <c r="AU154" i="88"/>
  <c r="AV154" i="88"/>
  <c r="AU46" i="88"/>
  <c r="AV46" i="88"/>
  <c r="AV49" i="88"/>
  <c r="AU49" i="88"/>
  <c r="AW144" i="88"/>
  <c r="AX144" i="88" s="1"/>
  <c r="AU122" i="88"/>
  <c r="AV122" i="88"/>
  <c r="AU142" i="88"/>
  <c r="AV142" i="88"/>
  <c r="AS142" i="88"/>
  <c r="AV121" i="88"/>
  <c r="AU121" i="88"/>
  <c r="AS121" i="88"/>
  <c r="AU166" i="88"/>
  <c r="AV166" i="88"/>
  <c r="AV135" i="88"/>
  <c r="AU135" i="88"/>
  <c r="AS135" i="88"/>
  <c r="AV58" i="88"/>
  <c r="AU58" i="88"/>
  <c r="AV131" i="88"/>
  <c r="AU131" i="88"/>
  <c r="AV180" i="88"/>
  <c r="AU180" i="88"/>
  <c r="AV140" i="88"/>
  <c r="AU140" i="88"/>
  <c r="AV99" i="88"/>
  <c r="AU99" i="88"/>
  <c r="AU102" i="88"/>
  <c r="AV102" i="88"/>
  <c r="AU77" i="88"/>
  <c r="AV77" i="88"/>
  <c r="AU73" i="88"/>
  <c r="AV73" i="88"/>
  <c r="AS73" i="88"/>
  <c r="AU30" i="88"/>
  <c r="AV30" i="88"/>
  <c r="AV59" i="88"/>
  <c r="AU59" i="88"/>
  <c r="AU100" i="88"/>
  <c r="AV100" i="88"/>
  <c r="AV138" i="88"/>
  <c r="AU138" i="88"/>
  <c r="AV87" i="88"/>
  <c r="AU87" i="88"/>
  <c r="AU104" i="88"/>
  <c r="AV104" i="88"/>
  <c r="AU112" i="88"/>
  <c r="AV112" i="88"/>
  <c r="AU118" i="88"/>
  <c r="AV118" i="88"/>
  <c r="AV61" i="88"/>
  <c r="AU61" i="88"/>
  <c r="AU157" i="88"/>
  <c r="AV157" i="88"/>
  <c r="AU110" i="88"/>
  <c r="AV110" i="88"/>
  <c r="AV177" i="88"/>
  <c r="AU177" i="88"/>
  <c r="AS177" i="88"/>
  <c r="AV57" i="88"/>
  <c r="AU57" i="88"/>
  <c r="AS182" i="88"/>
  <c r="AU182" i="88"/>
  <c r="AV182" i="88"/>
  <c r="AV29" i="88"/>
  <c r="AU29" i="88"/>
  <c r="AV111" i="88"/>
  <c r="AU111" i="88"/>
  <c r="AW81" i="88"/>
  <c r="AX81" i="88" s="1"/>
  <c r="AU117" i="88"/>
  <c r="AV117" i="88"/>
  <c r="AU55" i="88"/>
  <c r="AV55" i="88"/>
  <c r="AV85" i="88"/>
  <c r="AU85" i="88"/>
  <c r="AS85" i="88"/>
  <c r="AV47" i="88"/>
  <c r="AU47" i="88"/>
  <c r="AV167" i="88"/>
  <c r="AU167" i="88"/>
  <c r="AS167" i="88"/>
  <c r="AU125" i="88"/>
  <c r="AV125" i="88"/>
  <c r="AV193" i="88"/>
  <c r="AU193" i="88"/>
  <c r="AV179" i="88"/>
  <c r="AU179" i="88"/>
  <c r="AU33" i="88"/>
  <c r="AV33" i="88"/>
  <c r="AU51" i="88"/>
  <c r="AV51" i="88"/>
  <c r="AV66" i="88"/>
  <c r="AU66" i="88"/>
  <c r="AU191" i="88"/>
  <c r="AV191" i="88"/>
  <c r="AS191" i="88"/>
  <c r="AU151" i="88"/>
  <c r="AV151" i="88"/>
  <c r="AU120" i="88"/>
  <c r="AV120" i="88"/>
  <c r="AV34" i="88"/>
  <c r="AU34" i="88"/>
  <c r="AV119" i="88"/>
  <c r="AU119" i="88"/>
  <c r="AS119" i="88"/>
  <c r="AV123" i="88"/>
  <c r="AU123" i="88"/>
  <c r="AU95" i="88"/>
  <c r="AV95" i="88"/>
  <c r="AS95" i="88"/>
  <c r="AU42" i="88"/>
  <c r="AV42" i="88"/>
  <c r="AV185" i="88"/>
  <c r="AU185" i="88"/>
  <c r="AV91" i="88"/>
  <c r="AU91" i="88"/>
  <c r="AW190" i="88"/>
  <c r="AX190" i="88" s="1"/>
  <c r="AW62" i="88"/>
  <c r="AX62" i="88" s="1"/>
  <c r="AQ27" i="88"/>
  <c r="AS27" i="88" s="1"/>
  <c r="AP17" i="88"/>
  <c r="AW112" i="88" l="1"/>
  <c r="AX112" i="88" s="1"/>
  <c r="AW169" i="88"/>
  <c r="AX169" i="88" s="1"/>
  <c r="AW42" i="88"/>
  <c r="AX42" i="88" s="1"/>
  <c r="AW46" i="88"/>
  <c r="AX46" i="88" s="1"/>
  <c r="AY46" i="88" s="1"/>
  <c r="AY183" i="88"/>
  <c r="AY190" i="88"/>
  <c r="AY169" i="88"/>
  <c r="AY70" i="88"/>
  <c r="AY96" i="88"/>
  <c r="AY37" i="88"/>
  <c r="AY62" i="88"/>
  <c r="AY71" i="88"/>
  <c r="AY88" i="88"/>
  <c r="AY79" i="88"/>
  <c r="AY112" i="88"/>
  <c r="AY144" i="88"/>
  <c r="AY81" i="88"/>
  <c r="AY42" i="88"/>
  <c r="AW106" i="88"/>
  <c r="AX106" i="88" s="1"/>
  <c r="AY161" i="88"/>
  <c r="AW168" i="88"/>
  <c r="AX168" i="88" s="1"/>
  <c r="AY78" i="88"/>
  <c r="AW102" i="88"/>
  <c r="AX102" i="88" s="1"/>
  <c r="AW171" i="88"/>
  <c r="AX171" i="88" s="1"/>
  <c r="AW182" i="88"/>
  <c r="AX182" i="88" s="1"/>
  <c r="AW28" i="88"/>
  <c r="AX28" i="88" s="1"/>
  <c r="AW120" i="88"/>
  <c r="AX120" i="88" s="1"/>
  <c r="AW151" i="88"/>
  <c r="AX151" i="88" s="1"/>
  <c r="AW123" i="88"/>
  <c r="AX123" i="88" s="1"/>
  <c r="AW110" i="88"/>
  <c r="AX110" i="88" s="1"/>
  <c r="AW85" i="88"/>
  <c r="AX85" i="88" s="1"/>
  <c r="AW73" i="88"/>
  <c r="AX73" i="88" s="1"/>
  <c r="AW59" i="88"/>
  <c r="AX59" i="88" s="1"/>
  <c r="AW111" i="88"/>
  <c r="AX111" i="88" s="1"/>
  <c r="AW61" i="88"/>
  <c r="AX61" i="88" s="1"/>
  <c r="AW87" i="88"/>
  <c r="AX87" i="88" s="1"/>
  <c r="AW80" i="88"/>
  <c r="AX80" i="88" s="1"/>
  <c r="AW145" i="88"/>
  <c r="AX145" i="88" s="1"/>
  <c r="AW48" i="88"/>
  <c r="AX48" i="88" s="1"/>
  <c r="AW44" i="88"/>
  <c r="AX44" i="88" s="1"/>
  <c r="AW35" i="88"/>
  <c r="AX35" i="88" s="1"/>
  <c r="AW175" i="88"/>
  <c r="AX175" i="88" s="1"/>
  <c r="AW63" i="88"/>
  <c r="AX63" i="88" s="1"/>
  <c r="AW68" i="88"/>
  <c r="AX68" i="88" s="1"/>
  <c r="AW152" i="88"/>
  <c r="AX152" i="88" s="1"/>
  <c r="AW72" i="88"/>
  <c r="AX72" i="88" s="1"/>
  <c r="AW101" i="88"/>
  <c r="AX101" i="88" s="1"/>
  <c r="AW103" i="88"/>
  <c r="AX103" i="88" s="1"/>
  <c r="AW193" i="88"/>
  <c r="AX193" i="88" s="1"/>
  <c r="AW76" i="88"/>
  <c r="AX76" i="88" s="1"/>
  <c r="AW162" i="88"/>
  <c r="AX162" i="88" s="1"/>
  <c r="AW56" i="88"/>
  <c r="AX56" i="88" s="1"/>
  <c r="AW29" i="88"/>
  <c r="AX29" i="88" s="1"/>
  <c r="AW100" i="88"/>
  <c r="AX100" i="88" s="1"/>
  <c r="AW142" i="88"/>
  <c r="AX142" i="88" s="1"/>
  <c r="AW108" i="88"/>
  <c r="AX108" i="88" s="1"/>
  <c r="AW130" i="88"/>
  <c r="AX130" i="88" s="1"/>
  <c r="AW158" i="88"/>
  <c r="AX158" i="88" s="1"/>
  <c r="AW66" i="88"/>
  <c r="AX66" i="88" s="1"/>
  <c r="AW177" i="88"/>
  <c r="AX177" i="88" s="1"/>
  <c r="AW191" i="88"/>
  <c r="AX191" i="88" s="1"/>
  <c r="AW117" i="88"/>
  <c r="AX117" i="88" s="1"/>
  <c r="AW77" i="88"/>
  <c r="AX77" i="88" s="1"/>
  <c r="AW154" i="88"/>
  <c r="AX154" i="88" s="1"/>
  <c r="AW192" i="88"/>
  <c r="AX192" i="88" s="1"/>
  <c r="AW148" i="88"/>
  <c r="AX148" i="88" s="1"/>
  <c r="AW40" i="88"/>
  <c r="AX40" i="88" s="1"/>
  <c r="AW74" i="88"/>
  <c r="AX74" i="88" s="1"/>
  <c r="AW179" i="88"/>
  <c r="AX179" i="88" s="1"/>
  <c r="AW135" i="88"/>
  <c r="AX135" i="88" s="1"/>
  <c r="AW141" i="88"/>
  <c r="AX141" i="88" s="1"/>
  <c r="AW124" i="88"/>
  <c r="AX124" i="88" s="1"/>
  <c r="AW160" i="88"/>
  <c r="AX160" i="88" s="1"/>
  <c r="AW75" i="88"/>
  <c r="AX75" i="88" s="1"/>
  <c r="AW119" i="88"/>
  <c r="AX119" i="88" s="1"/>
  <c r="AW167" i="88"/>
  <c r="AX167" i="88" s="1"/>
  <c r="AW105" i="88"/>
  <c r="AX105" i="88" s="1"/>
  <c r="AW95" i="88"/>
  <c r="AX95" i="88" s="1"/>
  <c r="AW34" i="88"/>
  <c r="AX34" i="88" s="1"/>
  <c r="AW47" i="88"/>
  <c r="AX47" i="88" s="1"/>
  <c r="AW157" i="88"/>
  <c r="AX157" i="88" s="1"/>
  <c r="AW104" i="88"/>
  <c r="AX104" i="88" s="1"/>
  <c r="AW180" i="88"/>
  <c r="AX180" i="88" s="1"/>
  <c r="AW166" i="88"/>
  <c r="AX166" i="88" s="1"/>
  <c r="AW122" i="88"/>
  <c r="AX122" i="88" s="1"/>
  <c r="AW41" i="88"/>
  <c r="AX41" i="88" s="1"/>
  <c r="AW53" i="88"/>
  <c r="AX53" i="88" s="1"/>
  <c r="AW90" i="88"/>
  <c r="AX90" i="88" s="1"/>
  <c r="AW67" i="88"/>
  <c r="AX67" i="88" s="1"/>
  <c r="AW172" i="88"/>
  <c r="AX172" i="88" s="1"/>
  <c r="AW126" i="88"/>
  <c r="AX126" i="88" s="1"/>
  <c r="AW64" i="88"/>
  <c r="AX64" i="88" s="1"/>
  <c r="AW139" i="88"/>
  <c r="AX139" i="88" s="1"/>
  <c r="AW91" i="88"/>
  <c r="AX91" i="88" s="1"/>
  <c r="AW51" i="88"/>
  <c r="AX51" i="88" s="1"/>
  <c r="AW125" i="88"/>
  <c r="AX125" i="88" s="1"/>
  <c r="AW57" i="88"/>
  <c r="AX57" i="88" s="1"/>
  <c r="AW30" i="88"/>
  <c r="AX30" i="88" s="1"/>
  <c r="AW131" i="88"/>
  <c r="AX131" i="88" s="1"/>
  <c r="AW165" i="88"/>
  <c r="AX165" i="88" s="1"/>
  <c r="AW114" i="88"/>
  <c r="AX114" i="88" s="1"/>
  <c r="AW128" i="88"/>
  <c r="AX128" i="88" s="1"/>
  <c r="AW94" i="88"/>
  <c r="AX94" i="88" s="1"/>
  <c r="AW65" i="88"/>
  <c r="AX65" i="88" s="1"/>
  <c r="AW138" i="88"/>
  <c r="AX138" i="88" s="1"/>
  <c r="AW140" i="88"/>
  <c r="AX140" i="88" s="1"/>
  <c r="AW185" i="88"/>
  <c r="AX185" i="88" s="1"/>
  <c r="AW33" i="88"/>
  <c r="AX33" i="88" s="1"/>
  <c r="AW55" i="88"/>
  <c r="AX55" i="88" s="1"/>
  <c r="AW118" i="88"/>
  <c r="AX118" i="88" s="1"/>
  <c r="AW99" i="88"/>
  <c r="AX99" i="88" s="1"/>
  <c r="AW58" i="88"/>
  <c r="AX58" i="88" s="1"/>
  <c r="AW121" i="88"/>
  <c r="AX121" i="88" s="1"/>
  <c r="AW49" i="88"/>
  <c r="AX49" i="88" s="1"/>
  <c r="AW116" i="88"/>
  <c r="AX116" i="88" s="1"/>
  <c r="AW52" i="88"/>
  <c r="AX52" i="88" s="1"/>
  <c r="AW136" i="88"/>
  <c r="AX136" i="88" s="1"/>
  <c r="AW107" i="88"/>
  <c r="AX107" i="88" s="1"/>
  <c r="AW186" i="88"/>
  <c r="AX186" i="88" s="1"/>
  <c r="AW194" i="88"/>
  <c r="AX194" i="88" s="1"/>
  <c r="AW150" i="88"/>
  <c r="AX150" i="88" s="1"/>
  <c r="AQ17" i="88"/>
  <c r="AY167" i="88" l="1"/>
  <c r="AY51" i="88"/>
  <c r="AY123" i="88"/>
  <c r="AY139" i="88"/>
  <c r="AY193" i="88"/>
  <c r="AY135" i="88"/>
  <c r="AY179" i="88"/>
  <c r="AY74" i="88"/>
  <c r="AY180" i="88"/>
  <c r="AY160" i="88"/>
  <c r="AY120" i="88"/>
  <c r="AY33" i="88"/>
  <c r="AY185" i="88"/>
  <c r="AY157" i="88"/>
  <c r="AY136" i="88"/>
  <c r="AY151" i="88"/>
  <c r="AY91" i="88"/>
  <c r="AY116" i="88"/>
  <c r="AY64" i="88"/>
  <c r="AY182" i="88"/>
  <c r="AY118" i="88"/>
  <c r="AY122" i="88"/>
  <c r="AY140" i="88"/>
  <c r="AY34" i="88"/>
  <c r="AY76" i="88"/>
  <c r="AY103" i="88"/>
  <c r="AY67" i="88"/>
  <c r="AY68" i="88"/>
  <c r="AY145" i="88"/>
  <c r="AY75" i="88"/>
  <c r="AY90" i="88"/>
  <c r="AY53" i="88"/>
  <c r="AY154" i="88"/>
  <c r="AY166" i="88"/>
  <c r="AY138" i="88"/>
  <c r="AY104" i="88"/>
  <c r="AY106" i="88"/>
  <c r="AY56" i="88"/>
  <c r="AY52" i="88"/>
  <c r="AY124" i="88"/>
  <c r="AY49" i="88"/>
  <c r="AY141" i="88"/>
  <c r="AY121" i="88"/>
  <c r="AY28" i="88"/>
  <c r="AY58" i="88"/>
  <c r="AY101" i="88"/>
  <c r="AY99" i="88"/>
  <c r="AY72" i="88"/>
  <c r="AY40" i="88"/>
  <c r="AY152" i="88"/>
  <c r="AY55" i="88"/>
  <c r="AY148" i="88"/>
  <c r="AY41" i="88"/>
  <c r="AY192" i="88"/>
  <c r="AY63" i="88"/>
  <c r="AY175" i="88"/>
  <c r="AY77" i="88"/>
  <c r="AY117" i="88"/>
  <c r="AY44" i="88"/>
  <c r="AY168" i="88"/>
  <c r="AY65" i="88"/>
  <c r="AY191" i="88"/>
  <c r="AY48" i="88"/>
  <c r="AY94" i="88"/>
  <c r="AY177" i="88"/>
  <c r="AY128" i="88"/>
  <c r="AY47" i="88"/>
  <c r="AY66" i="88"/>
  <c r="AY80" i="88"/>
  <c r="AY114" i="88"/>
  <c r="AY158" i="88"/>
  <c r="AY87" i="88"/>
  <c r="AY165" i="88"/>
  <c r="AY95" i="88"/>
  <c r="AY130" i="88"/>
  <c r="AY61" i="88"/>
  <c r="AY150" i="88"/>
  <c r="AY131" i="88"/>
  <c r="AY105" i="88"/>
  <c r="AY108" i="88"/>
  <c r="AY111" i="88"/>
  <c r="AY194" i="88"/>
  <c r="AY30" i="88"/>
  <c r="AY142" i="88"/>
  <c r="AY59" i="88"/>
  <c r="AY110" i="88"/>
  <c r="AY126" i="88"/>
  <c r="AY172" i="88"/>
  <c r="AY102" i="88"/>
  <c r="AY35" i="88"/>
  <c r="AY186" i="88"/>
  <c r="AY57" i="88"/>
  <c r="AY100" i="88"/>
  <c r="AY73" i="88"/>
  <c r="AY162" i="88"/>
  <c r="AY171" i="88"/>
  <c r="AY107" i="88"/>
  <c r="AY125" i="88"/>
  <c r="AY119" i="88"/>
  <c r="AY29" i="88"/>
  <c r="AY85" i="88"/>
  <c r="AT17" i="88" l="1"/>
  <c r="AS17" i="88"/>
  <c r="AV27" i="88"/>
  <c r="AU27" i="88"/>
  <c r="AU17" i="88" s="1"/>
  <c r="AW27" i="88" l="1"/>
  <c r="AW17" i="88" s="1"/>
  <c r="AX27" i="88" l="1"/>
  <c r="AY27" i="88" l="1"/>
  <c r="AX17" i="88"/>
  <c r="AY17" i="88" l="1"/>
</calcChain>
</file>

<file path=xl/sharedStrings.xml><?xml version="1.0" encoding="utf-8"?>
<sst xmlns="http://schemas.openxmlformats.org/spreadsheetml/2006/main" count="737" uniqueCount="518">
  <si>
    <t>Need Weighting Factor for Col 3:</t>
  </si>
  <si>
    <t>ENGL per Capita and MHI Threshold Factor for Col 8 &amp; Col 10:</t>
  </si>
  <si>
    <t>ENGL per Capita Weight for Col 11:</t>
  </si>
  <si>
    <t>MHI Weight for Col 11:</t>
  </si>
  <si>
    <t>Foundation for Column 17:</t>
  </si>
  <si>
    <t xml:space="preserve">Totals  </t>
  </si>
  <si>
    <t>Median:</t>
  </si>
  <si>
    <t>(EEPC</t>
  </si>
  <si>
    <t>(MHI</t>
  </si>
  <si>
    <t>Base Aid Ratio</t>
  </si>
  <si>
    <t>Foundation:</t>
  </si>
  <si>
    <t>Preliminary</t>
  </si>
  <si>
    <t>Threshold:</t>
  </si>
  <si>
    <t>Wealth</t>
  </si>
  <si>
    <t>Regional</t>
  </si>
  <si>
    <t>(Item E)</t>
  </si>
  <si>
    <t>Free and</t>
  </si>
  <si>
    <t>Average</t>
  </si>
  <si>
    <t>Median</t>
  </si>
  <si>
    <t>Adjustment</t>
  </si>
  <si>
    <t>Greater of</t>
  </si>
  <si>
    <t>Students</t>
  </si>
  <si>
    <t>Number of</t>
  </si>
  <si>
    <t>District</t>
  </si>
  <si>
    <t>Reduced</t>
  </si>
  <si>
    <t>Free&amp;Reduced</t>
  </si>
  <si>
    <t>Need</t>
  </si>
  <si>
    <t>Equalized Net</t>
  </si>
  <si>
    <t>ECS ENGL</t>
  </si>
  <si>
    <t>Median x Item B)</t>
  </si>
  <si>
    <t>Household</t>
  </si>
  <si>
    <t>Factor</t>
  </si>
  <si>
    <t>Sent To</t>
  </si>
  <si>
    <t>Base Formula</t>
  </si>
  <si>
    <t>Fully Funded</t>
  </si>
  <si>
    <t>Alliance</t>
  </si>
  <si>
    <t>17 Town</t>
  </si>
  <si>
    <t>Resident</t>
  </si>
  <si>
    <t>Eligibility</t>
  </si>
  <si>
    <t>Weight</t>
  </si>
  <si>
    <t>Grand List</t>
  </si>
  <si>
    <t>Total</t>
  </si>
  <si>
    <t>per Capita</t>
  </si>
  <si>
    <t>ENGL Adjustment Factor</t>
  </si>
  <si>
    <t>Income</t>
  </si>
  <si>
    <t>MHI Adjustment Factor</t>
  </si>
  <si>
    <t>Bonus</t>
  </si>
  <si>
    <t>Aid</t>
  </si>
  <si>
    <t>Grant</t>
  </si>
  <si>
    <t>2016-17</t>
  </si>
  <si>
    <t>PSD</t>
  </si>
  <si>
    <t>Non-</t>
  </si>
  <si>
    <t>Reform</t>
  </si>
  <si>
    <t>Town</t>
  </si>
  <si>
    <t>October</t>
  </si>
  <si>
    <t>ELL</t>
  </si>
  <si>
    <t>(Col 2 x</t>
  </si>
  <si>
    <t>(ECS ENGL)</t>
  </si>
  <si>
    <t>Population</t>
  </si>
  <si>
    <t>(EEPC)</t>
  </si>
  <si>
    <t>(MHI)</t>
  </si>
  <si>
    <t>Item C) +</t>
  </si>
  <si>
    <t>Grades</t>
  </si>
  <si>
    <t>ECS</t>
  </si>
  <si>
    <t>DRG</t>
  </si>
  <si>
    <t>Districts</t>
  </si>
  <si>
    <t>Decile</t>
  </si>
  <si>
    <t>Code</t>
  </si>
  <si>
    <t>Name</t>
  </si>
  <si>
    <t>Item A)</t>
  </si>
  <si>
    <t>Threshold)</t>
  </si>
  <si>
    <t>C</t>
  </si>
  <si>
    <t>Andover</t>
  </si>
  <si>
    <t>H</t>
  </si>
  <si>
    <t>Ansonia</t>
  </si>
  <si>
    <t>E</t>
  </si>
  <si>
    <t>Ashford</t>
  </si>
  <si>
    <t>B</t>
  </si>
  <si>
    <t>Avon</t>
  </si>
  <si>
    <t>Barkhamsted</t>
  </si>
  <si>
    <t>Beacon Falls</t>
  </si>
  <si>
    <t>D</t>
  </si>
  <si>
    <t>Berlin</t>
  </si>
  <si>
    <t>Bethany</t>
  </si>
  <si>
    <t>Bethel</t>
  </si>
  <si>
    <t>Bethlehem</t>
  </si>
  <si>
    <t>G</t>
  </si>
  <si>
    <t>Bloomfield</t>
  </si>
  <si>
    <t>Bolton</t>
  </si>
  <si>
    <t>Bozrah</t>
  </si>
  <si>
    <t>Branford</t>
  </si>
  <si>
    <t>I</t>
  </si>
  <si>
    <t>Bridgeport</t>
  </si>
  <si>
    <t>Bridgewater</t>
  </si>
  <si>
    <t>Bristol</t>
  </si>
  <si>
    <t>Brookfield</t>
  </si>
  <si>
    <t>Brooklyn</t>
  </si>
  <si>
    <t>Burlington</t>
  </si>
  <si>
    <t>Canaan</t>
  </si>
  <si>
    <t>F</t>
  </si>
  <si>
    <t>Canterbury</t>
  </si>
  <si>
    <t>Canton</t>
  </si>
  <si>
    <t>Chaplin</t>
  </si>
  <si>
    <t>Cheshire</t>
  </si>
  <si>
    <t>Chester</t>
  </si>
  <si>
    <t>Clinton</t>
  </si>
  <si>
    <t>Colchester</t>
  </si>
  <si>
    <t>Colebrook</t>
  </si>
  <si>
    <t>Columbia</t>
  </si>
  <si>
    <t>Cornwall</t>
  </si>
  <si>
    <t>Coventry</t>
  </si>
  <si>
    <t>Cromwell</t>
  </si>
  <si>
    <t>Danbury</t>
  </si>
  <si>
    <t>A</t>
  </si>
  <si>
    <t>Darien</t>
  </si>
  <si>
    <t>Deep River</t>
  </si>
  <si>
    <t>Derby</t>
  </si>
  <si>
    <t>Durham</t>
  </si>
  <si>
    <t>Eastford</t>
  </si>
  <si>
    <t>East Granby</t>
  </si>
  <si>
    <t>East Haddam</t>
  </si>
  <si>
    <t>East Hampton</t>
  </si>
  <si>
    <t>East Hartford</t>
  </si>
  <si>
    <t>East Haven</t>
  </si>
  <si>
    <t>East Lyme</t>
  </si>
  <si>
    <t>Easton</t>
  </si>
  <si>
    <t>East Windsor</t>
  </si>
  <si>
    <t>Ellington</t>
  </si>
  <si>
    <t>Enfield</t>
  </si>
  <si>
    <t>Essex</t>
  </si>
  <si>
    <t>Fairfield</t>
  </si>
  <si>
    <t>Farmington</t>
  </si>
  <si>
    <t>Franklin</t>
  </si>
  <si>
    <t>Glastonbury</t>
  </si>
  <si>
    <t>Goshen</t>
  </si>
  <si>
    <t>Granby</t>
  </si>
  <si>
    <t>Greenwich</t>
  </si>
  <si>
    <t>Griswold</t>
  </si>
  <si>
    <t>Groton</t>
  </si>
  <si>
    <t>Guilford</t>
  </si>
  <si>
    <t>Haddam</t>
  </si>
  <si>
    <t>Hamden</t>
  </si>
  <si>
    <t>Hampton</t>
  </si>
  <si>
    <t>Hartford</t>
  </si>
  <si>
    <t>Hartland</t>
  </si>
  <si>
    <t>Harwinton</t>
  </si>
  <si>
    <t>Hebron</t>
  </si>
  <si>
    <t>Kent</t>
  </si>
  <si>
    <t>Killingly</t>
  </si>
  <si>
    <t>Killingworth</t>
  </si>
  <si>
    <t>Lebanon</t>
  </si>
  <si>
    <t>Ledyard</t>
  </si>
  <si>
    <t>Lisbon</t>
  </si>
  <si>
    <t>Litchfield</t>
  </si>
  <si>
    <t>Lyme</t>
  </si>
  <si>
    <t>Madison</t>
  </si>
  <si>
    <t>Manchester</t>
  </si>
  <si>
    <t>Mansfield</t>
  </si>
  <si>
    <t>Marlborough</t>
  </si>
  <si>
    <t>Meriden</t>
  </si>
  <si>
    <t>Middlebury</t>
  </si>
  <si>
    <t>Middlefield</t>
  </si>
  <si>
    <t>Middletown</t>
  </si>
  <si>
    <t>Milford</t>
  </si>
  <si>
    <t>Monroe</t>
  </si>
  <si>
    <t>Montville</t>
  </si>
  <si>
    <t>Morris</t>
  </si>
  <si>
    <t>Naugatuck</t>
  </si>
  <si>
    <t>New Britain</t>
  </si>
  <si>
    <t>New Canaan</t>
  </si>
  <si>
    <t>New Fairfield</t>
  </si>
  <si>
    <t>New Hartford</t>
  </si>
  <si>
    <t>New Haven</t>
  </si>
  <si>
    <t>Newington</t>
  </si>
  <si>
    <t>New London</t>
  </si>
  <si>
    <t>New Milford</t>
  </si>
  <si>
    <t>Newtown</t>
  </si>
  <si>
    <t>Norfolk</t>
  </si>
  <si>
    <t>North Branford</t>
  </si>
  <si>
    <t>North Canaan</t>
  </si>
  <si>
    <t>North Haven</t>
  </si>
  <si>
    <t>North Stonington</t>
  </si>
  <si>
    <t>Norwalk</t>
  </si>
  <si>
    <t>Norwich</t>
  </si>
  <si>
    <t>Old Lyme</t>
  </si>
  <si>
    <t>Old Saybrook</t>
  </si>
  <si>
    <t>Orange</t>
  </si>
  <si>
    <t>Oxford</t>
  </si>
  <si>
    <t>Plainfield</t>
  </si>
  <si>
    <t>Plainville</t>
  </si>
  <si>
    <t>Plymouth</t>
  </si>
  <si>
    <t>Pomfret</t>
  </si>
  <si>
    <t>Portland</t>
  </si>
  <si>
    <t>Preston</t>
  </si>
  <si>
    <t>Prospect</t>
  </si>
  <si>
    <t>Putnam</t>
  </si>
  <si>
    <t>Redding</t>
  </si>
  <si>
    <t>Ridgefield</t>
  </si>
  <si>
    <t>Rocky Hill</t>
  </si>
  <si>
    <t>Roxbury</t>
  </si>
  <si>
    <t>Salem</t>
  </si>
  <si>
    <t>Salisbury</t>
  </si>
  <si>
    <t>Scotland</t>
  </si>
  <si>
    <t>Seymour</t>
  </si>
  <si>
    <t>Sharon</t>
  </si>
  <si>
    <t>Shelton</t>
  </si>
  <si>
    <t>Sherman</t>
  </si>
  <si>
    <t>Simsbury</t>
  </si>
  <si>
    <t>Somers</t>
  </si>
  <si>
    <t>Southbury</t>
  </si>
  <si>
    <t>Southington</t>
  </si>
  <si>
    <t>South Windsor</t>
  </si>
  <si>
    <t>Sprague</t>
  </si>
  <si>
    <t>Stafford</t>
  </si>
  <si>
    <t>Stamford</t>
  </si>
  <si>
    <t>Sterling</t>
  </si>
  <si>
    <t>Stonington</t>
  </si>
  <si>
    <t>Stratford</t>
  </si>
  <si>
    <t>Suffield</t>
  </si>
  <si>
    <t>Thomaston</t>
  </si>
  <si>
    <t>Thompson</t>
  </si>
  <si>
    <t>Tolland</t>
  </si>
  <si>
    <t>Torrington</t>
  </si>
  <si>
    <t>Trumbull</t>
  </si>
  <si>
    <t>Union</t>
  </si>
  <si>
    <t>Vernon</t>
  </si>
  <si>
    <t>Voluntown</t>
  </si>
  <si>
    <t>Wallingford</t>
  </si>
  <si>
    <t>Warren</t>
  </si>
  <si>
    <t>Washington</t>
  </si>
  <si>
    <t>Waterbury</t>
  </si>
  <si>
    <t>Waterford</t>
  </si>
  <si>
    <t>Watertown</t>
  </si>
  <si>
    <t>Westbrook</t>
  </si>
  <si>
    <t>West Hartford</t>
  </si>
  <si>
    <t>West Haven</t>
  </si>
  <si>
    <t>Weston</t>
  </si>
  <si>
    <t>Westport</t>
  </si>
  <si>
    <t>Wethersfield</t>
  </si>
  <si>
    <t>Willington</t>
  </si>
  <si>
    <t>Wilton</t>
  </si>
  <si>
    <t>Winchester</t>
  </si>
  <si>
    <t>Windham</t>
  </si>
  <si>
    <t>Windsor</t>
  </si>
  <si>
    <t>Windsor Locks</t>
  </si>
  <si>
    <t>Wolcott</t>
  </si>
  <si>
    <t>Woodbridge</t>
  </si>
  <si>
    <t>Woodbury</t>
  </si>
  <si>
    <t>Woodstock</t>
  </si>
  <si>
    <t>Concentrated</t>
  </si>
  <si>
    <t>PIC</t>
  </si>
  <si>
    <t>Poverty</t>
  </si>
  <si>
    <t>ACTUAL</t>
  </si>
  <si>
    <t>Entitlement</t>
  </si>
  <si>
    <t xml:space="preserve">Grant </t>
  </si>
  <si>
    <t>Greater</t>
  </si>
  <si>
    <t>(Yes/No)</t>
  </si>
  <si>
    <t>H.</t>
  </si>
  <si>
    <t>G.</t>
  </si>
  <si>
    <t>A.</t>
  </si>
  <si>
    <t>B.</t>
  </si>
  <si>
    <t>C.</t>
  </si>
  <si>
    <t>D.</t>
  </si>
  <si>
    <t>E.</t>
  </si>
  <si>
    <t>F.</t>
  </si>
  <si>
    <t>I.</t>
  </si>
  <si>
    <t>Phase-In</t>
  </si>
  <si>
    <t>Amount</t>
  </si>
  <si>
    <t>Without</t>
  </si>
  <si>
    <t>Alliance HH</t>
  </si>
  <si>
    <t>If FRPL % above 60%,</t>
  </si>
  <si>
    <t>% above 60%</t>
  </si>
  <si>
    <t>at 60%</t>
  </si>
  <si>
    <t>(# students above 60%)</t>
  </si>
  <si>
    <t xml:space="preserve">Entitlement </t>
  </si>
  <si>
    <t>Total Bonus &gt;&gt;&gt;</t>
  </si>
  <si>
    <t>Excess</t>
  </si>
  <si>
    <t>Endowed</t>
  </si>
  <si>
    <t xml:space="preserve">Portion of </t>
  </si>
  <si>
    <t xml:space="preserve">Net </t>
  </si>
  <si>
    <t>Portion of</t>
  </si>
  <si>
    <t>Item E or Col 16),</t>
  </si>
  <si>
    <t xml:space="preserve">Base Aid </t>
  </si>
  <si>
    <t>Academies</t>
  </si>
  <si>
    <t>Free &amp;</t>
  </si>
  <si>
    <t>Ratio Adjustment</t>
  </si>
  <si>
    <t>Ratio</t>
  </si>
  <si>
    <t>(Greater of</t>
  </si>
  <si>
    <t>Total Need</t>
  </si>
  <si>
    <t>Need Students</t>
  </si>
  <si>
    <t>(Col 1 + Col 3</t>
  </si>
  <si>
    <t>(Col 2 x .30)</t>
  </si>
  <si>
    <t>(Col 1 x .60)</t>
  </si>
  <si>
    <t>(Col 7 x .25)</t>
  </si>
  <si>
    <t>+ Col 6 + Col 8)</t>
  </si>
  <si>
    <t>x Foundation)</t>
  </si>
  <si>
    <t>or 0)</t>
  </si>
  <si>
    <t>(Col 5 x .15)</t>
  </si>
  <si>
    <t>Prior Year</t>
  </si>
  <si>
    <t>Than Prior Year</t>
  </si>
  <si>
    <t>Grant with Alliance</t>
  </si>
  <si>
    <t>Hold Harmless</t>
  </si>
  <si>
    <t>60% of resident sts</t>
  </si>
  <si>
    <t>PIC Add</t>
  </si>
  <si>
    <t>Final Base Aid Ratio</t>
  </si>
  <si>
    <t># FRPL sts above 60% of resident sts</t>
  </si>
  <si>
    <t xml:space="preserve">ECS </t>
  </si>
  <si>
    <t>With</t>
  </si>
  <si>
    <t>(Col 17+Col 18)</t>
  </si>
  <si>
    <t>(Col 20 x</t>
  </si>
  <si>
    <t>(Col 23 x</t>
  </si>
  <si>
    <t>ADs HH</t>
  </si>
  <si>
    <t>or 0</t>
  </si>
  <si>
    <t>Feds do not report</t>
  </si>
  <si>
    <t>anything greater than</t>
  </si>
  <si>
    <t>$250,000 so Darien</t>
  </si>
  <si>
    <t>won't change</t>
  </si>
  <si>
    <t>Adjustment % for Districts who are underfunded:</t>
  </si>
  <si>
    <t>Adjustment % for Districts who are overfunded:</t>
  </si>
  <si>
    <t>(1 - ((Col 13 x</t>
  </si>
  <si>
    <t>Col 15 x Item D))</t>
  </si>
  <si>
    <t>Item F or Col 16)</t>
  </si>
  <si>
    <t>Col 21) x $100</t>
  </si>
  <si>
    <t>(Col 9 x Col 19</t>
  </si>
  <si>
    <t>(Col 22 +</t>
  </si>
  <si>
    <t>Col 24) x $100</t>
  </si>
  <si>
    <t>Col 25 + Col 26)</t>
  </si>
  <si>
    <t>(Col 12 /</t>
  </si>
  <si>
    <t>(Col 14 /</t>
  </si>
  <si>
    <t>(Col 10 / Col 11)</t>
  </si>
  <si>
    <t>(Non-Alliance Districts &amp; Non-PSDs:</t>
  </si>
  <si>
    <t>(Alliance Districts &amp; PSDs:</t>
  </si>
  <si>
    <t>Non-Alliance District &amp; Non-PSD Minimum Aid Ratio for use in Column 12:</t>
  </si>
  <si>
    <t>Alliance District &amp; PSD Minimum Aid Ratio for use in Column 12:</t>
  </si>
  <si>
    <t>(Col 27 - Col 30)</t>
  </si>
  <si>
    <t>(based on FF comp to prior yr)</t>
  </si>
  <si>
    <t>Get highest of prior yr, grant calc, and FY 17</t>
  </si>
  <si>
    <t>(Col 2 - Col 4)</t>
  </si>
  <si>
    <t>Abs value of (FF - Prior Year)</t>
  </si>
  <si>
    <t>FY 26</t>
  </si>
  <si>
    <t>FY 27</t>
  </si>
  <si>
    <t>Underfunded: Fully Funded Amount
Overfunded: Prior yr - Phase-in</t>
  </si>
  <si>
    <t>Overfunded: Adjustment *0% Underfunded: Adjustment * 100%</t>
  </si>
  <si>
    <t>(10/2025)</t>
  </si>
  <si>
    <t>(2021/22/23)</t>
  </si>
  <si>
    <t xml:space="preserve">ANDOVER         </t>
  </si>
  <si>
    <t xml:space="preserve">ANSONIA         </t>
  </si>
  <si>
    <t xml:space="preserve">ASHFORD         </t>
  </si>
  <si>
    <t xml:space="preserve">AVON            </t>
  </si>
  <si>
    <t xml:space="preserve">BARKHAMSTED     </t>
  </si>
  <si>
    <t xml:space="preserve">BEACON FALLS    </t>
  </si>
  <si>
    <t xml:space="preserve">BERLIN          </t>
  </si>
  <si>
    <t xml:space="preserve">BETHANY         </t>
  </si>
  <si>
    <t xml:space="preserve">BETHEL          </t>
  </si>
  <si>
    <t xml:space="preserve">BETHLEHEM       </t>
  </si>
  <si>
    <t xml:space="preserve">BLOOMFIELD      </t>
  </si>
  <si>
    <t xml:space="preserve">BOLTON          </t>
  </si>
  <si>
    <t xml:space="preserve">BOZRAH          </t>
  </si>
  <si>
    <t xml:space="preserve">BRANFORD        </t>
  </si>
  <si>
    <t xml:space="preserve">BRIDGEPORT      </t>
  </si>
  <si>
    <t xml:space="preserve">BRIDGEWATER     </t>
  </si>
  <si>
    <t xml:space="preserve">BRISTOL         </t>
  </si>
  <si>
    <t xml:space="preserve">BROOKFIELD      </t>
  </si>
  <si>
    <t xml:space="preserve">BROOKLYN        </t>
  </si>
  <si>
    <t xml:space="preserve">BURLINGTON      </t>
  </si>
  <si>
    <t xml:space="preserve">CANAAN          </t>
  </si>
  <si>
    <t xml:space="preserve">CANTERBURY      </t>
  </si>
  <si>
    <t xml:space="preserve">CANTON          </t>
  </si>
  <si>
    <t xml:space="preserve">CHAPLIN         </t>
  </si>
  <si>
    <t xml:space="preserve">CHESHIRE        </t>
  </si>
  <si>
    <t xml:space="preserve">CHESTER         </t>
  </si>
  <si>
    <t xml:space="preserve">CLINTON         </t>
  </si>
  <si>
    <t xml:space="preserve">COLCHESTER      </t>
  </si>
  <si>
    <t xml:space="preserve">COLEBROOK       </t>
  </si>
  <si>
    <t xml:space="preserve">COLUMBIA        </t>
  </si>
  <si>
    <t xml:space="preserve">CORNWALL        </t>
  </si>
  <si>
    <t xml:space="preserve">COVENTRY        </t>
  </si>
  <si>
    <t xml:space="preserve">CROMWELL        </t>
  </si>
  <si>
    <t xml:space="preserve">DANBURY         </t>
  </si>
  <si>
    <t xml:space="preserve">DARIEN          </t>
  </si>
  <si>
    <t xml:space="preserve">DEEP RIVER      </t>
  </si>
  <si>
    <t xml:space="preserve">DERBY           </t>
  </si>
  <si>
    <t xml:space="preserve">DURHAM          </t>
  </si>
  <si>
    <t xml:space="preserve">EASTFORD        </t>
  </si>
  <si>
    <t xml:space="preserve">EAST GRANBY     </t>
  </si>
  <si>
    <t xml:space="preserve">EAST HADDAM     </t>
  </si>
  <si>
    <t xml:space="preserve">EAST HAMPTON    </t>
  </si>
  <si>
    <t xml:space="preserve">EAST HARTFORD   </t>
  </si>
  <si>
    <t xml:space="preserve">EAST HAVEN      </t>
  </si>
  <si>
    <t xml:space="preserve">EAST LYME       </t>
  </si>
  <si>
    <t xml:space="preserve">EASTON          </t>
  </si>
  <si>
    <t xml:space="preserve">EAST WINDSOR    </t>
  </si>
  <si>
    <t xml:space="preserve">ELLINGTON       </t>
  </si>
  <si>
    <t xml:space="preserve">ENFIELD         </t>
  </si>
  <si>
    <t xml:space="preserve">ESSEX           </t>
  </si>
  <si>
    <t xml:space="preserve">FAIRFIELD       </t>
  </si>
  <si>
    <t xml:space="preserve">FARMINGTON      </t>
  </si>
  <si>
    <t xml:space="preserve">FRANKLIN        </t>
  </si>
  <si>
    <t xml:space="preserve">GLASTONBURY     </t>
  </si>
  <si>
    <t xml:space="preserve">GOSHEN          </t>
  </si>
  <si>
    <t xml:space="preserve">GRANBY          </t>
  </si>
  <si>
    <t xml:space="preserve">GREENWICH       </t>
  </si>
  <si>
    <t xml:space="preserve">GRISWOLD        </t>
  </si>
  <si>
    <t xml:space="preserve">GROTON          </t>
  </si>
  <si>
    <t xml:space="preserve">GUILFORD        </t>
  </si>
  <si>
    <t xml:space="preserve">HADDAM          </t>
  </si>
  <si>
    <t xml:space="preserve">HAMDEN          </t>
  </si>
  <si>
    <t xml:space="preserve">HAMPTON         </t>
  </si>
  <si>
    <t xml:space="preserve">HARTFORD        </t>
  </si>
  <si>
    <t xml:space="preserve">HARTLAND        </t>
  </si>
  <si>
    <t xml:space="preserve">HARWINTON       </t>
  </si>
  <si>
    <t xml:space="preserve">HEBRON          </t>
  </si>
  <si>
    <t xml:space="preserve">KENT            </t>
  </si>
  <si>
    <t xml:space="preserve">KILLINGLY       </t>
  </si>
  <si>
    <t xml:space="preserve">KILLINGWORTH    </t>
  </si>
  <si>
    <t xml:space="preserve">LEBANON         </t>
  </si>
  <si>
    <t xml:space="preserve">LEDYARD         </t>
  </si>
  <si>
    <t xml:space="preserve">LISBON          </t>
  </si>
  <si>
    <t xml:space="preserve">LITCHFIELD      </t>
  </si>
  <si>
    <t xml:space="preserve">LYME            </t>
  </si>
  <si>
    <t xml:space="preserve">MADISON         </t>
  </si>
  <si>
    <t xml:space="preserve">MANCHESTER      </t>
  </si>
  <si>
    <t xml:space="preserve">MANSFIELD       </t>
  </si>
  <si>
    <t xml:space="preserve">MARLBOROUGH     </t>
  </si>
  <si>
    <t xml:space="preserve">MERIDEN         </t>
  </si>
  <si>
    <t xml:space="preserve">MIDDLEBURY      </t>
  </si>
  <si>
    <t xml:space="preserve">MIDDLEFIELD     </t>
  </si>
  <si>
    <t xml:space="preserve">MIDDLETOWN      </t>
  </si>
  <si>
    <t xml:space="preserve">MILFORD         </t>
  </si>
  <si>
    <t xml:space="preserve">MONROE          </t>
  </si>
  <si>
    <t xml:space="preserve">MONTVILLE       </t>
  </si>
  <si>
    <t xml:space="preserve">MORRIS          </t>
  </si>
  <si>
    <t xml:space="preserve">NAUGATUCK       </t>
  </si>
  <si>
    <t xml:space="preserve">NEW BRITAIN     </t>
  </si>
  <si>
    <t xml:space="preserve">NEW CANAAN      </t>
  </si>
  <si>
    <t xml:space="preserve">NEW FAIRFIELD   </t>
  </si>
  <si>
    <t xml:space="preserve">NEW HARTFORD    </t>
  </si>
  <si>
    <t xml:space="preserve">NEW HAVEN       </t>
  </si>
  <si>
    <t xml:space="preserve">NEWINGTON       </t>
  </si>
  <si>
    <t xml:space="preserve">NEW LONDON      </t>
  </si>
  <si>
    <t xml:space="preserve">NEW MILFORD     </t>
  </si>
  <si>
    <t xml:space="preserve">NEWTOWN         </t>
  </si>
  <si>
    <t xml:space="preserve">NORFOLK         </t>
  </si>
  <si>
    <t xml:space="preserve">NORTH BRANFORD  </t>
  </si>
  <si>
    <t xml:space="preserve">NORTH CANAAN    </t>
  </si>
  <si>
    <t xml:space="preserve">NORTH HAVEN     </t>
  </si>
  <si>
    <t>NORTH STONINGTON</t>
  </si>
  <si>
    <t xml:space="preserve">NORWALK         </t>
  </si>
  <si>
    <t xml:space="preserve">NORWICH         </t>
  </si>
  <si>
    <t xml:space="preserve">OLD LYME        </t>
  </si>
  <si>
    <t xml:space="preserve">OLD SAYBROOK    </t>
  </si>
  <si>
    <t xml:space="preserve">ORANGE          </t>
  </si>
  <si>
    <t xml:space="preserve">OXFORD          </t>
  </si>
  <si>
    <t xml:space="preserve">PLAINFIELD      </t>
  </si>
  <si>
    <t xml:space="preserve">PLAINVILLE      </t>
  </si>
  <si>
    <t xml:space="preserve">PLYMOUTH        </t>
  </si>
  <si>
    <t xml:space="preserve">POMFRET         </t>
  </si>
  <si>
    <t xml:space="preserve">PORTLAND        </t>
  </si>
  <si>
    <t xml:space="preserve">PRESTON         </t>
  </si>
  <si>
    <t xml:space="preserve">PROSPECT        </t>
  </si>
  <si>
    <t xml:space="preserve">PUTNAM          </t>
  </si>
  <si>
    <t xml:space="preserve">REDDING         </t>
  </si>
  <si>
    <t xml:space="preserve">RIDGEFIELD      </t>
  </si>
  <si>
    <t xml:space="preserve">ROCKY HILL      </t>
  </si>
  <si>
    <t xml:space="preserve">ROXBURY         </t>
  </si>
  <si>
    <t xml:space="preserve">SALEM           </t>
  </si>
  <si>
    <t xml:space="preserve">SALISBURY       </t>
  </si>
  <si>
    <t xml:space="preserve">SCOTLAND        </t>
  </si>
  <si>
    <t xml:space="preserve">SEYMOUR         </t>
  </si>
  <si>
    <t xml:space="preserve">SHARON          </t>
  </si>
  <si>
    <t xml:space="preserve">SHELTON         </t>
  </si>
  <si>
    <t xml:space="preserve">SHERMAN         </t>
  </si>
  <si>
    <t xml:space="preserve">SIMSBURY        </t>
  </si>
  <si>
    <t xml:space="preserve">SOMERS          </t>
  </si>
  <si>
    <t xml:space="preserve">SOUTHBURY       </t>
  </si>
  <si>
    <t xml:space="preserve">SOUTHINGTON     </t>
  </si>
  <si>
    <t xml:space="preserve">SOUTH WINDSOR   </t>
  </si>
  <si>
    <t xml:space="preserve">SPRAGUE         </t>
  </si>
  <si>
    <t xml:space="preserve">STAFFORD        </t>
  </si>
  <si>
    <t xml:space="preserve">STAMFORD        </t>
  </si>
  <si>
    <t xml:space="preserve">STERLING        </t>
  </si>
  <si>
    <t xml:space="preserve">STONINGTON      </t>
  </si>
  <si>
    <t xml:space="preserve">STRATFORD       </t>
  </si>
  <si>
    <t xml:space="preserve">SUFFIELD        </t>
  </si>
  <si>
    <t xml:space="preserve">THOMASTON       </t>
  </si>
  <si>
    <t xml:space="preserve">THOMPSON        </t>
  </si>
  <si>
    <t xml:space="preserve">TOLLAND         </t>
  </si>
  <si>
    <t xml:space="preserve">TORRINGTON      </t>
  </si>
  <si>
    <t xml:space="preserve">TRUMBULL        </t>
  </si>
  <si>
    <t xml:space="preserve">UNION           </t>
  </si>
  <si>
    <t xml:space="preserve">VERNON          </t>
  </si>
  <si>
    <t xml:space="preserve">VOLUNTOWN       </t>
  </si>
  <si>
    <t xml:space="preserve">WALLINGFORD     </t>
  </si>
  <si>
    <t xml:space="preserve">WARREN          </t>
  </si>
  <si>
    <t xml:space="preserve">WASHINGTON      </t>
  </si>
  <si>
    <t xml:space="preserve">WATERBURY       </t>
  </si>
  <si>
    <t xml:space="preserve">WATERFORD       </t>
  </si>
  <si>
    <t xml:space="preserve">WATERTOWN       </t>
  </si>
  <si>
    <t xml:space="preserve">WESTBROOK       </t>
  </si>
  <si>
    <t xml:space="preserve">WEST HARTFORD   </t>
  </si>
  <si>
    <t xml:space="preserve">WEST HAVEN      </t>
  </si>
  <si>
    <t xml:space="preserve">WESTON          </t>
  </si>
  <si>
    <t xml:space="preserve">WESTPORT        </t>
  </si>
  <si>
    <t xml:space="preserve">WETHERSFIELD    </t>
  </si>
  <si>
    <t xml:space="preserve">WILLINGTON      </t>
  </si>
  <si>
    <t xml:space="preserve">WILTON          </t>
  </si>
  <si>
    <t xml:space="preserve">WINCHESTER      </t>
  </si>
  <si>
    <t xml:space="preserve">WINDHAM         </t>
  </si>
  <si>
    <t xml:space="preserve">WINDSOR         </t>
  </si>
  <si>
    <t xml:space="preserve">WINDSOR LOCKS   </t>
  </si>
  <si>
    <t xml:space="preserve">WOLCOTT         </t>
  </si>
  <si>
    <t xml:space="preserve">WOODBRIDGE      </t>
  </si>
  <si>
    <t xml:space="preserve">WOODBURY        </t>
  </si>
  <si>
    <t xml:space="preserve">WOODSTOCK       </t>
  </si>
  <si>
    <t>10/2025</t>
  </si>
  <si>
    <t>Sent to</t>
  </si>
  <si>
    <t>Designated</t>
  </si>
  <si>
    <t>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</si>
</sst>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#,##0.000000_);[Red]\(#,##0.000000\)"/>
    <numFmt numFmtId="165" formatCode="#,##0.000_);\(#,##0.000\)"/>
    <numFmt numFmtId="166" formatCode="0.000000%"/>
    <numFmt numFmtId="167" formatCode="#,##0.000000_);\(#,##0.000000\)"/>
    <numFmt numFmtId="168" formatCode="0.0%"/>
    <numFmt numFmtId="169" formatCode="_(* #,##0_);[Red]_(* \(#,##0\);_(* \-_);_(@_)"/>
    <numFmt numFmtId="170" formatCode="0.000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Book Antiqua"/>
      <family val="1"/>
    </font>
    <font>
      <sz val="10"/>
      <color theme="1"/>
      <name val="Book Antiqua"/>
      <family val="1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indexed="8"/>
      <name val="Calibri"/>
      <family val="2"/>
    </font>
    <font>
      <sz val="11"/>
      <color rgb="FF0070C0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0" fontId="2" fillId="0" borderId="0" applyFill="0" applyBorder="0">
      <alignment horizontal="center" wrapText="1"/>
    </xf>
    <xf numFmtId="169" fontId="3" fillId="0" borderId="1" applyFill="0"/>
    <xf numFmtId="0" fontId="3" fillId="0" borderId="1" applyFill="0"/>
    <xf numFmtId="0" fontId="2" fillId="0" borderId="0" applyNumberFormat="0" applyFill="0" applyBorder="0">
      <alignment horizontal="left" wrapText="1"/>
    </xf>
    <xf numFmtId="0" fontId="4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5" applyNumberFormat="0" applyAlignment="0" applyProtection="0"/>
    <xf numFmtId="0" fontId="12" fillId="7" borderId="6" applyNumberFormat="0" applyAlignment="0" applyProtection="0"/>
    <xf numFmtId="0" fontId="13" fillId="7" borderId="5" applyNumberFormat="0" applyAlignment="0" applyProtection="0"/>
    <xf numFmtId="0" fontId="14" fillId="0" borderId="7" applyNumberFormat="0" applyFill="0" applyAlignment="0" applyProtection="0"/>
    <xf numFmtId="0" fontId="15" fillId="8" borderId="8" applyNumberFormat="0" applyAlignment="0" applyProtection="0"/>
    <xf numFmtId="0" fontId="16" fillId="0" borderId="0" applyNumberFormat="0" applyFill="0" applyBorder="0" applyAlignment="0" applyProtection="0"/>
    <xf numFmtId="0" fontId="1" fillId="9" borderId="9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10" applyNumberFormat="0" applyFill="0" applyAlignment="0" applyProtection="0"/>
    <xf numFmtId="0" fontId="19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9" fillId="25" borderId="0" applyNumberFormat="0" applyBorder="0" applyAlignment="0" applyProtection="0"/>
    <xf numFmtId="0" fontId="19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9" fillId="29" borderId="0" applyNumberFormat="0" applyBorder="0" applyAlignment="0" applyProtection="0"/>
    <xf numFmtId="0" fontId="19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33" borderId="0" applyNumberFormat="0" applyBorder="0" applyAlignment="0" applyProtection="0"/>
    <xf numFmtId="0" fontId="20" fillId="0" borderId="0" applyNumberForma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1" fillId="0" borderId="0"/>
  </cellStyleXfs>
  <cellXfs count="75">
    <xf numFmtId="0" fontId="0" fillId="0" borderId="0" xfId="0"/>
    <xf numFmtId="15" fontId="23" fillId="0" borderId="0" xfId="0" quotePrefix="1" applyNumberFormat="1" applyFont="1"/>
    <xf numFmtId="0" fontId="24" fillId="0" borderId="0" xfId="0" applyFont="1"/>
    <xf numFmtId="0" fontId="24" fillId="2" borderId="0" xfId="0" applyFont="1" applyFill="1"/>
    <xf numFmtId="0" fontId="24" fillId="34" borderId="0" xfId="0" applyFont="1" applyFill="1"/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right"/>
    </xf>
    <xf numFmtId="0" fontId="23" fillId="0" borderId="0" xfId="0" applyFont="1"/>
    <xf numFmtId="10" fontId="24" fillId="0" borderId="0" xfId="0" applyNumberFormat="1" applyFont="1"/>
    <xf numFmtId="164" fontId="24" fillId="0" borderId="0" xfId="0" applyNumberFormat="1" applyFont="1"/>
    <xf numFmtId="39" fontId="24" fillId="0" borderId="0" xfId="0" applyNumberFormat="1" applyFont="1"/>
    <xf numFmtId="165" fontId="24" fillId="0" borderId="0" xfId="0" applyNumberFormat="1" applyFont="1"/>
    <xf numFmtId="5" fontId="24" fillId="0" borderId="0" xfId="0" applyNumberFormat="1" applyFont="1"/>
    <xf numFmtId="10" fontId="23" fillId="0" borderId="0" xfId="0" applyNumberFormat="1" applyFont="1"/>
    <xf numFmtId="0" fontId="25" fillId="0" borderId="0" xfId="0" applyFont="1"/>
    <xf numFmtId="166" fontId="24" fillId="0" borderId="0" xfId="0" applyNumberFormat="1" applyFont="1"/>
    <xf numFmtId="0" fontId="26" fillId="0" borderId="0" xfId="0" applyFont="1"/>
    <xf numFmtId="3" fontId="24" fillId="34" borderId="0" xfId="0" applyNumberFormat="1" applyFont="1" applyFill="1"/>
    <xf numFmtId="0" fontId="24" fillId="0" borderId="0" xfId="0" quotePrefix="1" applyFont="1"/>
    <xf numFmtId="37" fontId="23" fillId="0" borderId="0" xfId="0" applyNumberFormat="1" applyFont="1"/>
    <xf numFmtId="39" fontId="25" fillId="0" borderId="0" xfId="0" applyNumberFormat="1" applyFont="1"/>
    <xf numFmtId="37" fontId="24" fillId="0" borderId="0" xfId="0" applyNumberFormat="1" applyFont="1"/>
    <xf numFmtId="40" fontId="24" fillId="0" borderId="0" xfId="0" applyNumberFormat="1" applyFont="1"/>
    <xf numFmtId="164" fontId="24" fillId="0" borderId="0" xfId="0" applyNumberFormat="1" applyFont="1" applyAlignment="1">
      <alignment horizontal="center"/>
    </xf>
    <xf numFmtId="37" fontId="26" fillId="0" borderId="0" xfId="0" applyNumberFormat="1" applyFont="1"/>
    <xf numFmtId="37" fontId="24" fillId="2" borderId="0" xfId="0" applyNumberFormat="1" applyFont="1" applyFill="1"/>
    <xf numFmtId="37" fontId="24" fillId="34" borderId="0" xfId="0" applyNumberFormat="1" applyFont="1" applyFill="1"/>
    <xf numFmtId="0" fontId="27" fillId="0" borderId="0" xfId="0" applyFont="1" applyAlignment="1">
      <alignment horizontal="right"/>
    </xf>
    <xf numFmtId="167" fontId="24" fillId="0" borderId="0" xfId="0" applyNumberFormat="1" applyFont="1"/>
    <xf numFmtId="0" fontId="24" fillId="0" borderId="0" xfId="0" quotePrefix="1" applyFont="1" applyAlignment="1">
      <alignment horizontal="center"/>
    </xf>
    <xf numFmtId="0" fontId="24" fillId="2" borderId="0" xfId="0" quotePrefix="1" applyFont="1" applyFill="1" applyAlignment="1">
      <alignment horizontal="center"/>
    </xf>
    <xf numFmtId="0" fontId="24" fillId="34" borderId="0" xfId="0" quotePrefix="1" applyFont="1" applyFill="1" applyAlignment="1">
      <alignment horizontal="center"/>
    </xf>
    <xf numFmtId="0" fontId="26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7" fillId="0" borderId="0" xfId="0" quotePrefix="1" applyFont="1" applyAlignment="1">
      <alignment horizontal="center"/>
    </xf>
    <xf numFmtId="0" fontId="24" fillId="2" borderId="0" xfId="0" applyFont="1" applyFill="1" applyAlignment="1">
      <alignment horizontal="center"/>
    </xf>
    <xf numFmtId="0" fontId="24" fillId="34" borderId="0" xfId="0" applyFont="1" applyFill="1" applyAlignment="1">
      <alignment horizontal="center"/>
    </xf>
    <xf numFmtId="0" fontId="25" fillId="0" borderId="0" xfId="0" applyFont="1" applyAlignment="1">
      <alignment horizontal="center"/>
    </xf>
    <xf numFmtId="0" fontId="23" fillId="2" borderId="0" xfId="0" quotePrefix="1" applyFont="1" applyFill="1" applyAlignment="1">
      <alignment horizontal="center"/>
    </xf>
    <xf numFmtId="0" fontId="23" fillId="34" borderId="0" xfId="0" quotePrefix="1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23" fillId="34" borderId="0" xfId="0" applyFont="1" applyFill="1" applyAlignment="1">
      <alignment horizontal="center"/>
    </xf>
    <xf numFmtId="0" fontId="23" fillId="0" borderId="0" xfId="0" quotePrefix="1" applyFont="1" applyAlignment="1">
      <alignment horizontal="center"/>
    </xf>
    <xf numFmtId="0" fontId="27" fillId="34" borderId="0" xfId="0" applyFont="1" applyFill="1" applyAlignment="1">
      <alignment horizontal="center"/>
    </xf>
    <xf numFmtId="0" fontId="22" fillId="0" borderId="0" xfId="0" applyFont="1"/>
    <xf numFmtId="4" fontId="24" fillId="0" borderId="0" xfId="0" applyNumberFormat="1" applyFont="1"/>
    <xf numFmtId="4" fontId="22" fillId="0" borderId="0" xfId="0" applyNumberFormat="1" applyFont="1"/>
    <xf numFmtId="168" fontId="22" fillId="0" borderId="0" xfId="0" applyNumberFormat="1" applyFont="1"/>
    <xf numFmtId="3" fontId="22" fillId="0" borderId="0" xfId="0" applyNumberFormat="1" applyFont="1"/>
    <xf numFmtId="170" fontId="24" fillId="0" borderId="0" xfId="0" applyNumberFormat="1" applyFont="1"/>
    <xf numFmtId="168" fontId="24" fillId="0" borderId="0" xfId="0" applyNumberFormat="1" applyFont="1"/>
    <xf numFmtId="170" fontId="22" fillId="0" borderId="0" xfId="0" applyNumberFormat="1" applyFont="1"/>
    <xf numFmtId="37" fontId="24" fillId="0" borderId="0" xfId="0" applyNumberFormat="1" applyFont="1" applyAlignment="1">
      <alignment horizontal="center"/>
    </xf>
    <xf numFmtId="3" fontId="22" fillId="2" borderId="0" xfId="0" applyNumberFormat="1" applyFont="1" applyFill="1"/>
    <xf numFmtId="3" fontId="22" fillId="34" borderId="0" xfId="0" applyNumberFormat="1" applyFont="1" applyFill="1"/>
    <xf numFmtId="3" fontId="24" fillId="0" borderId="0" xfId="0" applyNumberFormat="1" applyFont="1"/>
    <xf numFmtId="0" fontId="28" fillId="0" borderId="0" xfId="0" applyFont="1" applyAlignment="1">
      <alignment horizontal="center"/>
    </xf>
    <xf numFmtId="0" fontId="23" fillId="35" borderId="0" xfId="0" applyFont="1" applyFill="1" applyAlignment="1">
      <alignment horizontal="center"/>
    </xf>
    <xf numFmtId="0" fontId="29" fillId="0" borderId="0" xfId="0" applyFont="1" applyAlignment="1">
      <alignment horizontal="center"/>
    </xf>
    <xf numFmtId="4" fontId="27" fillId="2" borderId="11" xfId="0" applyNumberFormat="1" applyFont="1" applyFill="1" applyBorder="1" applyAlignment="1">
      <alignment horizontal="right"/>
    </xf>
    <xf numFmtId="0" fontId="23" fillId="0" borderId="0" xfId="0" applyFont="1" applyAlignment="1">
      <alignment horizontal="center" wrapText="1"/>
    </xf>
    <xf numFmtId="0" fontId="23" fillId="0" borderId="0" xfId="0" applyFont="1" applyAlignment="1">
      <alignment wrapText="1"/>
    </xf>
    <xf numFmtId="0" fontId="23" fillId="2" borderId="0" xfId="0" applyFont="1" applyFill="1" applyAlignment="1">
      <alignment wrapText="1"/>
    </xf>
    <xf numFmtId="0" fontId="27" fillId="34" borderId="0" xfId="0" applyFont="1" applyFill="1" applyAlignment="1">
      <alignment wrapText="1"/>
    </xf>
    <xf numFmtId="39" fontId="23" fillId="0" borderId="0" xfId="0" applyNumberFormat="1" applyFont="1"/>
    <xf numFmtId="40" fontId="27" fillId="0" borderId="0" xfId="0" applyNumberFormat="1" applyFont="1"/>
    <xf numFmtId="0" fontId="27" fillId="0" borderId="0" xfId="0" applyFont="1" applyAlignment="1">
      <alignment horizontal="center"/>
    </xf>
    <xf numFmtId="6" fontId="27" fillId="0" borderId="0" xfId="0" applyNumberFormat="1" applyFont="1" applyAlignment="1">
      <alignment horizontal="center"/>
    </xf>
    <xf numFmtId="8" fontId="27" fillId="0" borderId="0" xfId="0" applyNumberFormat="1" applyFont="1" applyAlignment="1">
      <alignment horizontal="center"/>
    </xf>
    <xf numFmtId="5" fontId="27" fillId="0" borderId="0" xfId="0" applyNumberFormat="1" applyFont="1"/>
    <xf numFmtId="0" fontId="29" fillId="0" borderId="0" xfId="0" applyFont="1"/>
    <xf numFmtId="3" fontId="0" fillId="0" borderId="0" xfId="0" applyNumberFormat="1"/>
    <xf numFmtId="4" fontId="0" fillId="0" borderId="0" xfId="0" applyNumberFormat="1"/>
    <xf numFmtId="17" fontId="0" fillId="0" borderId="0" xfId="0" quotePrefix="1" applyNumberFormat="1" applyAlignment="1">
      <alignment horizontal="center"/>
    </xf>
    <xf numFmtId="0" fontId="0" fillId="0" borderId="0" xfId="0" applyAlignment="1">
      <alignment horizontal="center"/>
    </xf>
  </cellXfs>
  <cellStyles count="50">
    <cellStyle name="20% - Accent1" xfId="23" builtinId="30" customBuiltin="1"/>
    <cellStyle name="20% - Accent2" xfId="27" builtinId="34" customBuiltin="1"/>
    <cellStyle name="20% - Accent3" xfId="31" builtinId="38" customBuiltin="1"/>
    <cellStyle name="20% - Accent4" xfId="35" builtinId="42" customBuiltin="1"/>
    <cellStyle name="20% - Accent5" xfId="39" builtinId="46" customBuiltin="1"/>
    <cellStyle name="20% - Accent6" xfId="43" builtinId="50" customBuiltin="1"/>
    <cellStyle name="40% - Accent1" xfId="24" builtinId="31" customBuiltin="1"/>
    <cellStyle name="40% - Accent2" xfId="28" builtinId="35" customBuiltin="1"/>
    <cellStyle name="40% - Accent3" xfId="32" builtinId="39" customBuiltin="1"/>
    <cellStyle name="40% - Accent4" xfId="36" builtinId="43" customBuiltin="1"/>
    <cellStyle name="40% - Accent5" xfId="40" builtinId="47" customBuiltin="1"/>
    <cellStyle name="40% - Accent6" xfId="44" builtinId="51" customBuiltin="1"/>
    <cellStyle name="60% - Accent1" xfId="25" builtinId="32" customBuiltin="1"/>
    <cellStyle name="60% - Accent2" xfId="29" builtinId="36" customBuiltin="1"/>
    <cellStyle name="60% - Accent3" xfId="33" builtinId="40" customBuiltin="1"/>
    <cellStyle name="60% - Accent4" xfId="37" builtinId="44" customBuiltin="1"/>
    <cellStyle name="60% - Accent5" xfId="41" builtinId="48" customBuiltin="1"/>
    <cellStyle name="60% - Accent6" xfId="45" builtinId="52" customBuiltin="1"/>
    <cellStyle name="Accent1" xfId="22" builtinId="29" customBuiltin="1"/>
    <cellStyle name="Accent2" xfId="26" builtinId="33" customBuiltin="1"/>
    <cellStyle name="Accent3" xfId="30" builtinId="37" customBuiltin="1"/>
    <cellStyle name="Accent4" xfId="34" builtinId="41" customBuiltin="1"/>
    <cellStyle name="Accent5" xfId="38" builtinId="45" customBuiltin="1"/>
    <cellStyle name="Accent6" xfId="42" builtinId="49" customBuiltin="1"/>
    <cellStyle name="Bad" xfId="11" builtinId="27" customBuiltin="1"/>
    <cellStyle name="Calculation" xfId="15" builtinId="22" customBuiltin="1"/>
    <cellStyle name="Check Cell" xfId="17" builtinId="23" customBuiltin="1"/>
    <cellStyle name="Comma 2" xfId="48" xr:uid="{7CDD22EA-8DEA-41A6-AC9D-659DD01238A6}"/>
    <cellStyle name="Explanatory Text" xfId="20" builtinId="53" customBuiltin="1"/>
    <cellStyle name="Good" xfId="10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" xfId="13" builtinId="20" customBuiltin="1"/>
    <cellStyle name="Linked Cell" xfId="16" builtinId="24" customBuiltin="1"/>
    <cellStyle name="Neutral" xfId="12" builtinId="28" customBuiltin="1"/>
    <cellStyle name="Normal" xfId="0" builtinId="0"/>
    <cellStyle name="Normal 2" xfId="47" xr:uid="{8FA3F471-DB8F-421A-B414-C7D0F9559CB9}"/>
    <cellStyle name="Normal 2 2" xfId="49" xr:uid="{E921B42C-119E-4063-9983-C3BF94E7CB9F}"/>
    <cellStyle name="Note" xfId="19" builtinId="10" customBuiltin="1"/>
    <cellStyle name="Number Headers" xfId="1" xr:uid="{00000000-0005-0000-0000-000026000000}"/>
    <cellStyle name="Numbers" xfId="2" xr:uid="{00000000-0005-0000-0000-000027000000}"/>
    <cellStyle name="Output" xfId="14" builtinId="21" customBuiltin="1"/>
    <cellStyle name="Text" xfId="3" xr:uid="{00000000-0005-0000-0000-000029000000}"/>
    <cellStyle name="Text Headers" xfId="4" xr:uid="{00000000-0005-0000-0000-00002A000000}"/>
    <cellStyle name="Title" xfId="5" builtinId="15" customBuiltin="1"/>
    <cellStyle name="Title 2" xfId="46" xr:uid="{00000000-0005-0000-0000-00002C000000}"/>
    <cellStyle name="Total" xfId="21" builtinId="25" customBuiltin="1"/>
    <cellStyle name="Warning Text" xfId="18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34C7F-174D-4A79-B55D-961D899D44A0}">
  <sheetPr>
    <tabColor theme="8" tint="0.59999389629810485"/>
  </sheetPr>
  <dimension ref="A2:D175"/>
  <sheetViews>
    <sheetView topLeftCell="A136" workbookViewId="0">
      <selection activeCell="D7" sqref="D7"/>
    </sheetView>
  </sheetViews>
  <sheetFormatPr defaultRowHeight="14.35" x14ac:dyDescent="0.5"/>
  <cols>
    <col min="3" max="3" width="10.703125" customWidth="1"/>
  </cols>
  <sheetData>
    <row r="2" spans="1:4" x14ac:dyDescent="0.5">
      <c r="C2" s="73" t="s">
        <v>514</v>
      </c>
    </row>
    <row r="3" spans="1:4" x14ac:dyDescent="0.5">
      <c r="C3" s="74" t="s">
        <v>21</v>
      </c>
    </row>
    <row r="4" spans="1:4" x14ac:dyDescent="0.5">
      <c r="C4" s="74" t="s">
        <v>515</v>
      </c>
    </row>
    <row r="5" spans="1:4" x14ac:dyDescent="0.5">
      <c r="C5" s="74" t="s">
        <v>516</v>
      </c>
    </row>
    <row r="6" spans="1:4" x14ac:dyDescent="0.5">
      <c r="C6" s="74" t="s">
        <v>517</v>
      </c>
      <c r="D6" t="s">
        <v>62</v>
      </c>
    </row>
    <row r="7" spans="1:4" x14ac:dyDescent="0.5">
      <c r="A7">
        <v>1</v>
      </c>
      <c r="B7" t="s">
        <v>345</v>
      </c>
      <c r="C7">
        <v>0</v>
      </c>
    </row>
    <row r="8" spans="1:4" x14ac:dyDescent="0.5">
      <c r="A8">
        <v>2</v>
      </c>
      <c r="B8" t="s">
        <v>346</v>
      </c>
      <c r="C8">
        <v>0</v>
      </c>
    </row>
    <row r="9" spans="1:4" x14ac:dyDescent="0.5">
      <c r="A9">
        <v>3</v>
      </c>
      <c r="B9" t="s">
        <v>347</v>
      </c>
      <c r="C9">
        <v>0</v>
      </c>
    </row>
    <row r="10" spans="1:4" x14ac:dyDescent="0.5">
      <c r="A10">
        <v>4</v>
      </c>
      <c r="B10" t="s">
        <v>348</v>
      </c>
      <c r="C10">
        <v>0</v>
      </c>
    </row>
    <row r="11" spans="1:4" x14ac:dyDescent="0.5">
      <c r="A11">
        <v>5</v>
      </c>
      <c r="B11" t="s">
        <v>349</v>
      </c>
      <c r="C11">
        <v>0</v>
      </c>
    </row>
    <row r="12" spans="1:4" x14ac:dyDescent="0.5">
      <c r="A12">
        <v>6</v>
      </c>
      <c r="B12" t="s">
        <v>350</v>
      </c>
      <c r="C12">
        <v>0</v>
      </c>
    </row>
    <row r="13" spans="1:4" x14ac:dyDescent="0.5">
      <c r="A13">
        <v>7</v>
      </c>
      <c r="B13" t="s">
        <v>351</v>
      </c>
      <c r="C13">
        <v>0</v>
      </c>
    </row>
    <row r="14" spans="1:4" x14ac:dyDescent="0.5">
      <c r="A14">
        <v>8</v>
      </c>
      <c r="B14" t="s">
        <v>352</v>
      </c>
      <c r="C14">
        <v>0</v>
      </c>
    </row>
    <row r="15" spans="1:4" x14ac:dyDescent="0.5">
      <c r="A15">
        <v>9</v>
      </c>
      <c r="B15" t="s">
        <v>353</v>
      </c>
      <c r="C15">
        <v>0</v>
      </c>
    </row>
    <row r="16" spans="1:4" x14ac:dyDescent="0.5">
      <c r="A16">
        <v>10</v>
      </c>
      <c r="B16" t="s">
        <v>354</v>
      </c>
      <c r="C16">
        <v>0</v>
      </c>
    </row>
    <row r="17" spans="1:4" x14ac:dyDescent="0.5">
      <c r="A17">
        <v>11</v>
      </c>
      <c r="B17" t="s">
        <v>355</v>
      </c>
      <c r="C17">
        <v>0</v>
      </c>
    </row>
    <row r="18" spans="1:4" x14ac:dyDescent="0.5">
      <c r="A18">
        <v>12</v>
      </c>
      <c r="B18" t="s">
        <v>356</v>
      </c>
      <c r="C18">
        <v>0</v>
      </c>
    </row>
    <row r="19" spans="1:4" x14ac:dyDescent="0.5">
      <c r="A19">
        <v>13</v>
      </c>
      <c r="B19" t="s">
        <v>357</v>
      </c>
      <c r="C19">
        <v>64</v>
      </c>
      <c r="D19">
        <v>4</v>
      </c>
    </row>
    <row r="20" spans="1:4" x14ac:dyDescent="0.5">
      <c r="A20">
        <v>14</v>
      </c>
      <c r="B20" t="s">
        <v>358</v>
      </c>
      <c r="C20">
        <v>0</v>
      </c>
    </row>
    <row r="21" spans="1:4" x14ac:dyDescent="0.5">
      <c r="A21">
        <v>15</v>
      </c>
      <c r="B21" t="s">
        <v>359</v>
      </c>
      <c r="C21">
        <v>0</v>
      </c>
    </row>
    <row r="22" spans="1:4" x14ac:dyDescent="0.5">
      <c r="A22">
        <v>16</v>
      </c>
      <c r="B22" t="s">
        <v>360</v>
      </c>
      <c r="C22">
        <v>0</v>
      </c>
    </row>
    <row r="23" spans="1:4" x14ac:dyDescent="0.5">
      <c r="A23">
        <v>17</v>
      </c>
      <c r="B23" t="s">
        <v>361</v>
      </c>
      <c r="C23">
        <v>0</v>
      </c>
    </row>
    <row r="24" spans="1:4" x14ac:dyDescent="0.5">
      <c r="A24">
        <v>18</v>
      </c>
      <c r="B24" t="s">
        <v>362</v>
      </c>
      <c r="C24">
        <v>0</v>
      </c>
    </row>
    <row r="25" spans="1:4" x14ac:dyDescent="0.5">
      <c r="A25">
        <v>19</v>
      </c>
      <c r="B25" t="s">
        <v>363</v>
      </c>
      <c r="C25">
        <v>293</v>
      </c>
      <c r="D25">
        <v>4</v>
      </c>
    </row>
    <row r="26" spans="1:4" x14ac:dyDescent="0.5">
      <c r="A26">
        <v>20</v>
      </c>
      <c r="B26" t="s">
        <v>364</v>
      </c>
      <c r="C26">
        <v>0</v>
      </c>
    </row>
    <row r="27" spans="1:4" x14ac:dyDescent="0.5">
      <c r="A27">
        <v>21</v>
      </c>
      <c r="B27" t="s">
        <v>365</v>
      </c>
      <c r="C27">
        <v>0</v>
      </c>
    </row>
    <row r="28" spans="1:4" x14ac:dyDescent="0.5">
      <c r="A28">
        <v>22</v>
      </c>
      <c r="B28" t="s">
        <v>366</v>
      </c>
      <c r="C28">
        <v>138</v>
      </c>
      <c r="D28">
        <v>4</v>
      </c>
    </row>
    <row r="29" spans="1:4" x14ac:dyDescent="0.5">
      <c r="A29">
        <v>23</v>
      </c>
      <c r="B29" t="s">
        <v>367</v>
      </c>
      <c r="C29">
        <v>0</v>
      </c>
    </row>
    <row r="30" spans="1:4" x14ac:dyDescent="0.5">
      <c r="A30">
        <v>24</v>
      </c>
      <c r="B30" t="s">
        <v>368</v>
      </c>
      <c r="C30">
        <v>0</v>
      </c>
    </row>
    <row r="31" spans="1:4" x14ac:dyDescent="0.5">
      <c r="A31">
        <v>25</v>
      </c>
      <c r="B31" t="s">
        <v>369</v>
      </c>
      <c r="C31">
        <v>0</v>
      </c>
    </row>
    <row r="32" spans="1:4" x14ac:dyDescent="0.5">
      <c r="A32">
        <v>26</v>
      </c>
      <c r="B32" t="s">
        <v>370</v>
      </c>
      <c r="C32">
        <v>0</v>
      </c>
    </row>
    <row r="33" spans="1:4" x14ac:dyDescent="0.5">
      <c r="A33">
        <v>27</v>
      </c>
      <c r="B33" t="s">
        <v>371</v>
      </c>
      <c r="C33">
        <v>0</v>
      </c>
    </row>
    <row r="34" spans="1:4" x14ac:dyDescent="0.5">
      <c r="A34">
        <v>28</v>
      </c>
      <c r="B34" t="s">
        <v>372</v>
      </c>
      <c r="C34">
        <v>0</v>
      </c>
    </row>
    <row r="35" spans="1:4" x14ac:dyDescent="0.5">
      <c r="A35">
        <v>29</v>
      </c>
      <c r="B35" t="s">
        <v>373</v>
      </c>
      <c r="C35">
        <v>0</v>
      </c>
    </row>
    <row r="36" spans="1:4" x14ac:dyDescent="0.5">
      <c r="A36">
        <v>30</v>
      </c>
      <c r="B36" t="s">
        <v>374</v>
      </c>
      <c r="C36">
        <v>170</v>
      </c>
      <c r="D36">
        <v>4</v>
      </c>
    </row>
    <row r="37" spans="1:4" x14ac:dyDescent="0.5">
      <c r="A37">
        <v>31</v>
      </c>
      <c r="B37" t="s">
        <v>375</v>
      </c>
      <c r="C37">
        <v>0</v>
      </c>
    </row>
    <row r="38" spans="1:4" x14ac:dyDescent="0.5">
      <c r="A38">
        <v>32</v>
      </c>
      <c r="B38" t="s">
        <v>376</v>
      </c>
      <c r="C38">
        <v>0</v>
      </c>
    </row>
    <row r="39" spans="1:4" x14ac:dyDescent="0.5">
      <c r="A39">
        <v>33</v>
      </c>
      <c r="B39" t="s">
        <v>377</v>
      </c>
      <c r="C39">
        <v>0</v>
      </c>
    </row>
    <row r="40" spans="1:4" x14ac:dyDescent="0.5">
      <c r="A40">
        <v>34</v>
      </c>
      <c r="B40" t="s">
        <v>378</v>
      </c>
      <c r="C40">
        <v>0</v>
      </c>
    </row>
    <row r="41" spans="1:4" x14ac:dyDescent="0.5">
      <c r="A41">
        <v>35</v>
      </c>
      <c r="B41" t="s">
        <v>379</v>
      </c>
      <c r="C41">
        <v>0</v>
      </c>
    </row>
    <row r="42" spans="1:4" x14ac:dyDescent="0.5">
      <c r="A42">
        <v>36</v>
      </c>
      <c r="B42" t="s">
        <v>380</v>
      </c>
      <c r="C42">
        <v>0</v>
      </c>
    </row>
    <row r="43" spans="1:4" x14ac:dyDescent="0.5">
      <c r="A43">
        <v>37</v>
      </c>
      <c r="B43" t="s">
        <v>381</v>
      </c>
      <c r="C43">
        <v>0</v>
      </c>
    </row>
    <row r="44" spans="1:4" x14ac:dyDescent="0.5">
      <c r="A44">
        <v>38</v>
      </c>
      <c r="B44" t="s">
        <v>382</v>
      </c>
      <c r="C44">
        <v>0</v>
      </c>
    </row>
    <row r="45" spans="1:4" x14ac:dyDescent="0.5">
      <c r="A45">
        <v>39</v>
      </c>
      <c r="B45" t="s">
        <v>383</v>
      </c>
      <c r="C45">
        <v>42</v>
      </c>
      <c r="D45">
        <v>4</v>
      </c>
    </row>
    <row r="46" spans="1:4" x14ac:dyDescent="0.5">
      <c r="A46">
        <v>40</v>
      </c>
      <c r="B46" t="s">
        <v>384</v>
      </c>
      <c r="C46">
        <v>0</v>
      </c>
    </row>
    <row r="47" spans="1:4" x14ac:dyDescent="0.5">
      <c r="A47">
        <v>41</v>
      </c>
      <c r="B47" t="s">
        <v>385</v>
      </c>
      <c r="C47">
        <v>0</v>
      </c>
    </row>
    <row r="48" spans="1:4" x14ac:dyDescent="0.5">
      <c r="A48">
        <v>42</v>
      </c>
      <c r="B48" t="s">
        <v>386</v>
      </c>
      <c r="C48">
        <v>0</v>
      </c>
    </row>
    <row r="49" spans="1:4" x14ac:dyDescent="0.5">
      <c r="A49">
        <v>43</v>
      </c>
      <c r="B49" t="s">
        <v>387</v>
      </c>
      <c r="C49">
        <v>0</v>
      </c>
    </row>
    <row r="50" spans="1:4" x14ac:dyDescent="0.5">
      <c r="A50">
        <v>44</v>
      </c>
      <c r="B50" t="s">
        <v>388</v>
      </c>
      <c r="C50">
        <v>0</v>
      </c>
    </row>
    <row r="51" spans="1:4" x14ac:dyDescent="0.5">
      <c r="A51">
        <v>45</v>
      </c>
      <c r="B51" t="s">
        <v>389</v>
      </c>
      <c r="C51">
        <v>0</v>
      </c>
    </row>
    <row r="52" spans="1:4" x14ac:dyDescent="0.5">
      <c r="A52">
        <v>46</v>
      </c>
      <c r="B52" t="s">
        <v>390</v>
      </c>
      <c r="C52">
        <v>0</v>
      </c>
    </row>
    <row r="53" spans="1:4" x14ac:dyDescent="0.5">
      <c r="A53">
        <v>47</v>
      </c>
      <c r="B53" t="s">
        <v>391</v>
      </c>
      <c r="C53">
        <v>0</v>
      </c>
    </row>
    <row r="54" spans="1:4" x14ac:dyDescent="0.5">
      <c r="A54">
        <v>48</v>
      </c>
      <c r="B54" t="s">
        <v>392</v>
      </c>
      <c r="C54">
        <v>0</v>
      </c>
    </row>
    <row r="55" spans="1:4" x14ac:dyDescent="0.5">
      <c r="A55">
        <v>49</v>
      </c>
      <c r="B55" t="s">
        <v>393</v>
      </c>
      <c r="C55">
        <v>0</v>
      </c>
    </row>
    <row r="56" spans="1:4" x14ac:dyDescent="0.5">
      <c r="A56">
        <v>50</v>
      </c>
      <c r="B56" t="s">
        <v>394</v>
      </c>
      <c r="C56">
        <v>0</v>
      </c>
    </row>
    <row r="57" spans="1:4" x14ac:dyDescent="0.5">
      <c r="A57">
        <v>51</v>
      </c>
      <c r="B57" t="s">
        <v>395</v>
      </c>
      <c r="C57">
        <v>0</v>
      </c>
    </row>
    <row r="58" spans="1:4" x14ac:dyDescent="0.5">
      <c r="A58">
        <v>52</v>
      </c>
      <c r="B58" t="s">
        <v>396</v>
      </c>
      <c r="C58">
        <v>0</v>
      </c>
    </row>
    <row r="59" spans="1:4" x14ac:dyDescent="0.5">
      <c r="A59">
        <v>53</v>
      </c>
      <c r="B59" t="s">
        <v>397</v>
      </c>
      <c r="C59">
        <v>62</v>
      </c>
      <c r="D59">
        <v>4</v>
      </c>
    </row>
    <row r="60" spans="1:4" x14ac:dyDescent="0.5">
      <c r="A60">
        <v>54</v>
      </c>
      <c r="B60" t="s">
        <v>398</v>
      </c>
      <c r="C60">
        <v>0</v>
      </c>
    </row>
    <row r="61" spans="1:4" x14ac:dyDescent="0.5">
      <c r="A61">
        <v>55</v>
      </c>
      <c r="B61" t="s">
        <v>399</v>
      </c>
      <c r="C61">
        <v>0</v>
      </c>
    </row>
    <row r="62" spans="1:4" x14ac:dyDescent="0.5">
      <c r="A62">
        <v>56</v>
      </c>
      <c r="B62" t="s">
        <v>400</v>
      </c>
      <c r="C62">
        <v>0</v>
      </c>
    </row>
    <row r="63" spans="1:4" x14ac:dyDescent="0.5">
      <c r="A63">
        <v>57</v>
      </c>
      <c r="B63" t="s">
        <v>401</v>
      </c>
      <c r="C63">
        <v>0</v>
      </c>
    </row>
    <row r="64" spans="1:4" x14ac:dyDescent="0.5">
      <c r="A64">
        <v>58</v>
      </c>
      <c r="B64" t="s">
        <v>402</v>
      </c>
      <c r="C64">
        <v>0</v>
      </c>
    </row>
    <row r="65" spans="1:4" x14ac:dyDescent="0.5">
      <c r="A65">
        <v>59</v>
      </c>
      <c r="B65" t="s">
        <v>403</v>
      </c>
      <c r="C65">
        <v>0</v>
      </c>
    </row>
    <row r="66" spans="1:4" x14ac:dyDescent="0.5">
      <c r="A66">
        <v>60</v>
      </c>
      <c r="B66" t="s">
        <v>404</v>
      </c>
      <c r="C66">
        <v>0</v>
      </c>
    </row>
    <row r="67" spans="1:4" x14ac:dyDescent="0.5">
      <c r="A67">
        <v>61</v>
      </c>
      <c r="B67" t="s">
        <v>405</v>
      </c>
      <c r="C67">
        <v>0</v>
      </c>
    </row>
    <row r="68" spans="1:4" x14ac:dyDescent="0.5">
      <c r="A68">
        <v>62</v>
      </c>
      <c r="B68" t="s">
        <v>406</v>
      </c>
      <c r="C68">
        <v>0</v>
      </c>
    </row>
    <row r="69" spans="1:4" x14ac:dyDescent="0.5">
      <c r="A69">
        <v>63</v>
      </c>
      <c r="B69" t="s">
        <v>407</v>
      </c>
      <c r="C69">
        <v>0</v>
      </c>
    </row>
    <row r="70" spans="1:4" x14ac:dyDescent="0.5">
      <c r="A70">
        <v>64</v>
      </c>
      <c r="B70" t="s">
        <v>408</v>
      </c>
      <c r="C70">
        <v>0</v>
      </c>
    </row>
    <row r="71" spans="1:4" x14ac:dyDescent="0.5">
      <c r="A71">
        <v>65</v>
      </c>
      <c r="B71" t="s">
        <v>409</v>
      </c>
      <c r="C71">
        <v>52</v>
      </c>
      <c r="D71">
        <v>4</v>
      </c>
    </row>
    <row r="72" spans="1:4" x14ac:dyDescent="0.5">
      <c r="A72">
        <v>66</v>
      </c>
      <c r="B72" t="s">
        <v>410</v>
      </c>
      <c r="C72">
        <v>0</v>
      </c>
    </row>
    <row r="73" spans="1:4" x14ac:dyDescent="0.5">
      <c r="A73">
        <v>67</v>
      </c>
      <c r="B73" t="s">
        <v>411</v>
      </c>
      <c r="C73">
        <v>0</v>
      </c>
    </row>
    <row r="74" spans="1:4" x14ac:dyDescent="0.5">
      <c r="A74">
        <v>68</v>
      </c>
      <c r="B74" t="s">
        <v>412</v>
      </c>
      <c r="C74">
        <v>0</v>
      </c>
    </row>
    <row r="75" spans="1:4" x14ac:dyDescent="0.5">
      <c r="A75">
        <v>69</v>
      </c>
      <c r="B75" t="s">
        <v>413</v>
      </c>
      <c r="C75">
        <v>0</v>
      </c>
    </row>
    <row r="76" spans="1:4" x14ac:dyDescent="0.5">
      <c r="A76">
        <v>70</v>
      </c>
      <c r="B76" t="s">
        <v>414</v>
      </c>
      <c r="C76">
        <v>0</v>
      </c>
    </row>
    <row r="77" spans="1:4" x14ac:dyDescent="0.5">
      <c r="A77">
        <v>71</v>
      </c>
      <c r="B77" t="s">
        <v>415</v>
      </c>
      <c r="C77">
        <v>0</v>
      </c>
    </row>
    <row r="78" spans="1:4" x14ac:dyDescent="0.5">
      <c r="A78">
        <v>72</v>
      </c>
      <c r="B78" t="s">
        <v>416</v>
      </c>
      <c r="C78">
        <v>0</v>
      </c>
    </row>
    <row r="79" spans="1:4" x14ac:dyDescent="0.5">
      <c r="A79">
        <v>73</v>
      </c>
      <c r="B79" t="s">
        <v>417</v>
      </c>
      <c r="C79">
        <v>156</v>
      </c>
      <c r="D79">
        <v>4</v>
      </c>
    </row>
    <row r="80" spans="1:4" x14ac:dyDescent="0.5">
      <c r="A80">
        <v>74</v>
      </c>
      <c r="B80" t="s">
        <v>418</v>
      </c>
      <c r="C80">
        <v>0</v>
      </c>
    </row>
    <row r="81" spans="1:3" x14ac:dyDescent="0.5">
      <c r="A81">
        <v>75</v>
      </c>
      <c r="B81" t="s">
        <v>419</v>
      </c>
      <c r="C81">
        <v>0</v>
      </c>
    </row>
    <row r="82" spans="1:3" x14ac:dyDescent="0.5">
      <c r="A82">
        <v>76</v>
      </c>
      <c r="B82" t="s">
        <v>420</v>
      </c>
      <c r="C82">
        <v>0</v>
      </c>
    </row>
    <row r="83" spans="1:3" x14ac:dyDescent="0.5">
      <c r="A83">
        <v>77</v>
      </c>
      <c r="B83" t="s">
        <v>421</v>
      </c>
      <c r="C83">
        <v>0</v>
      </c>
    </row>
    <row r="84" spans="1:3" x14ac:dyDescent="0.5">
      <c r="A84">
        <v>78</v>
      </c>
      <c r="B84" t="s">
        <v>422</v>
      </c>
      <c r="C84">
        <v>0</v>
      </c>
    </row>
    <row r="85" spans="1:3" x14ac:dyDescent="0.5">
      <c r="A85">
        <v>79</v>
      </c>
      <c r="B85" t="s">
        <v>423</v>
      </c>
      <c r="C85">
        <v>0</v>
      </c>
    </row>
    <row r="86" spans="1:3" x14ac:dyDescent="0.5">
      <c r="A86">
        <v>80</v>
      </c>
      <c r="B86" t="s">
        <v>424</v>
      </c>
      <c r="C86">
        <v>0</v>
      </c>
    </row>
    <row r="87" spans="1:3" x14ac:dyDescent="0.5">
      <c r="A87">
        <v>81</v>
      </c>
      <c r="B87" t="s">
        <v>425</v>
      </c>
      <c r="C87">
        <v>0</v>
      </c>
    </row>
    <row r="88" spans="1:3" x14ac:dyDescent="0.5">
      <c r="A88">
        <v>82</v>
      </c>
      <c r="B88" t="s">
        <v>426</v>
      </c>
      <c r="C88">
        <v>0</v>
      </c>
    </row>
    <row r="89" spans="1:3" x14ac:dyDescent="0.5">
      <c r="A89">
        <v>83</v>
      </c>
      <c r="B89" t="s">
        <v>427</v>
      </c>
      <c r="C89">
        <v>0</v>
      </c>
    </row>
    <row r="90" spans="1:3" x14ac:dyDescent="0.5">
      <c r="A90">
        <v>84</v>
      </c>
      <c r="B90" t="s">
        <v>428</v>
      </c>
      <c r="C90">
        <v>0</v>
      </c>
    </row>
    <row r="91" spans="1:3" x14ac:dyDescent="0.5">
      <c r="A91">
        <v>85</v>
      </c>
      <c r="B91" t="s">
        <v>429</v>
      </c>
      <c r="C91">
        <v>0</v>
      </c>
    </row>
    <row r="92" spans="1:3" x14ac:dyDescent="0.5">
      <c r="A92">
        <v>86</v>
      </c>
      <c r="B92" t="s">
        <v>430</v>
      </c>
      <c r="C92">
        <v>0</v>
      </c>
    </row>
    <row r="93" spans="1:3" x14ac:dyDescent="0.5">
      <c r="A93">
        <v>87</v>
      </c>
      <c r="B93" t="s">
        <v>431</v>
      </c>
      <c r="C93">
        <v>0</v>
      </c>
    </row>
    <row r="94" spans="1:3" x14ac:dyDescent="0.5">
      <c r="A94">
        <v>88</v>
      </c>
      <c r="B94" t="s">
        <v>432</v>
      </c>
      <c r="C94">
        <v>0</v>
      </c>
    </row>
    <row r="95" spans="1:3" x14ac:dyDescent="0.5">
      <c r="A95">
        <v>89</v>
      </c>
      <c r="B95" t="s">
        <v>433</v>
      </c>
      <c r="C95">
        <v>0</v>
      </c>
    </row>
    <row r="96" spans="1:3" x14ac:dyDescent="0.5">
      <c r="A96">
        <v>90</v>
      </c>
      <c r="B96" t="s">
        <v>434</v>
      </c>
      <c r="C96">
        <v>0</v>
      </c>
    </row>
    <row r="97" spans="1:3" x14ac:dyDescent="0.5">
      <c r="A97">
        <v>91</v>
      </c>
      <c r="B97" t="s">
        <v>435</v>
      </c>
      <c r="C97">
        <v>0</v>
      </c>
    </row>
    <row r="98" spans="1:3" x14ac:dyDescent="0.5">
      <c r="A98">
        <v>92</v>
      </c>
      <c r="B98" t="s">
        <v>436</v>
      </c>
      <c r="C98">
        <v>0</v>
      </c>
    </row>
    <row r="99" spans="1:3" x14ac:dyDescent="0.5">
      <c r="A99">
        <v>93</v>
      </c>
      <c r="B99" t="s">
        <v>437</v>
      </c>
      <c r="C99">
        <v>0</v>
      </c>
    </row>
    <row r="100" spans="1:3" x14ac:dyDescent="0.5">
      <c r="A100">
        <v>94</v>
      </c>
      <c r="B100" t="s">
        <v>438</v>
      </c>
      <c r="C100">
        <v>0</v>
      </c>
    </row>
    <row r="101" spans="1:3" x14ac:dyDescent="0.5">
      <c r="A101">
        <v>95</v>
      </c>
      <c r="B101" t="s">
        <v>439</v>
      </c>
      <c r="C101">
        <v>0</v>
      </c>
    </row>
    <row r="102" spans="1:3" x14ac:dyDescent="0.5">
      <c r="A102">
        <v>96</v>
      </c>
      <c r="B102" t="s">
        <v>440</v>
      </c>
      <c r="C102">
        <v>0</v>
      </c>
    </row>
    <row r="103" spans="1:3" x14ac:dyDescent="0.5">
      <c r="A103">
        <v>97</v>
      </c>
      <c r="B103" t="s">
        <v>441</v>
      </c>
      <c r="C103">
        <v>0</v>
      </c>
    </row>
    <row r="104" spans="1:3" x14ac:dyDescent="0.5">
      <c r="A104">
        <v>98</v>
      </c>
      <c r="B104" t="s">
        <v>442</v>
      </c>
      <c r="C104">
        <v>0</v>
      </c>
    </row>
    <row r="105" spans="1:3" x14ac:dyDescent="0.5">
      <c r="A105">
        <v>99</v>
      </c>
      <c r="B105" t="s">
        <v>443</v>
      </c>
      <c r="C105">
        <v>0</v>
      </c>
    </row>
    <row r="106" spans="1:3" x14ac:dyDescent="0.5">
      <c r="A106">
        <v>100</v>
      </c>
      <c r="B106" t="s">
        <v>444</v>
      </c>
      <c r="C106">
        <v>0</v>
      </c>
    </row>
    <row r="107" spans="1:3" x14ac:dyDescent="0.5">
      <c r="A107">
        <v>101</v>
      </c>
      <c r="B107" t="s">
        <v>445</v>
      </c>
      <c r="C107">
        <v>0</v>
      </c>
    </row>
    <row r="108" spans="1:3" x14ac:dyDescent="0.5">
      <c r="A108">
        <v>102</v>
      </c>
      <c r="B108" t="s">
        <v>446</v>
      </c>
      <c r="C108">
        <v>0</v>
      </c>
    </row>
    <row r="109" spans="1:3" x14ac:dyDescent="0.5">
      <c r="A109">
        <v>103</v>
      </c>
      <c r="B109" t="s">
        <v>447</v>
      </c>
      <c r="C109">
        <v>0</v>
      </c>
    </row>
    <row r="110" spans="1:3" x14ac:dyDescent="0.5">
      <c r="A110">
        <v>104</v>
      </c>
      <c r="B110" t="s">
        <v>448</v>
      </c>
      <c r="C110">
        <v>0</v>
      </c>
    </row>
    <row r="111" spans="1:3" x14ac:dyDescent="0.5">
      <c r="A111">
        <v>105</v>
      </c>
      <c r="B111" t="s">
        <v>449</v>
      </c>
      <c r="C111">
        <v>0</v>
      </c>
    </row>
    <row r="112" spans="1:3" x14ac:dyDescent="0.5">
      <c r="A112">
        <v>106</v>
      </c>
      <c r="B112" t="s">
        <v>450</v>
      </c>
      <c r="C112">
        <v>0</v>
      </c>
    </row>
    <row r="113" spans="1:4" x14ac:dyDescent="0.5">
      <c r="A113">
        <v>107</v>
      </c>
      <c r="B113" t="s">
        <v>451</v>
      </c>
      <c r="C113">
        <v>0</v>
      </c>
    </row>
    <row r="114" spans="1:4" x14ac:dyDescent="0.5">
      <c r="A114">
        <v>108</v>
      </c>
      <c r="B114" t="s">
        <v>452</v>
      </c>
      <c r="C114">
        <v>0</v>
      </c>
    </row>
    <row r="115" spans="1:4" x14ac:dyDescent="0.5">
      <c r="A115">
        <v>109</v>
      </c>
      <c r="B115" t="s">
        <v>453</v>
      </c>
      <c r="C115">
        <v>0</v>
      </c>
    </row>
    <row r="116" spans="1:4" x14ac:dyDescent="0.5">
      <c r="A116">
        <v>110</v>
      </c>
      <c r="B116" t="s">
        <v>454</v>
      </c>
      <c r="C116">
        <v>0</v>
      </c>
    </row>
    <row r="117" spans="1:4" x14ac:dyDescent="0.5">
      <c r="A117">
        <v>111</v>
      </c>
      <c r="B117" t="s">
        <v>455</v>
      </c>
      <c r="C117">
        <v>0</v>
      </c>
    </row>
    <row r="118" spans="1:4" x14ac:dyDescent="0.5">
      <c r="A118">
        <v>112</v>
      </c>
      <c r="B118" t="s">
        <v>456</v>
      </c>
      <c r="C118">
        <v>160</v>
      </c>
      <c r="D118">
        <v>4</v>
      </c>
    </row>
    <row r="119" spans="1:4" x14ac:dyDescent="0.5">
      <c r="A119">
        <v>113</v>
      </c>
      <c r="B119" t="s">
        <v>457</v>
      </c>
      <c r="C119">
        <v>0</v>
      </c>
    </row>
    <row r="120" spans="1:4" x14ac:dyDescent="0.5">
      <c r="A120">
        <v>114</v>
      </c>
      <c r="B120" t="s">
        <v>458</v>
      </c>
      <c r="C120">
        <v>152</v>
      </c>
      <c r="D120">
        <v>4</v>
      </c>
    </row>
    <row r="121" spans="1:4" x14ac:dyDescent="0.5">
      <c r="A121">
        <v>115</v>
      </c>
      <c r="B121" t="s">
        <v>459</v>
      </c>
      <c r="C121">
        <v>0</v>
      </c>
    </row>
    <row r="122" spans="1:4" x14ac:dyDescent="0.5">
      <c r="A122">
        <v>116</v>
      </c>
      <c r="B122" t="s">
        <v>460</v>
      </c>
      <c r="C122">
        <v>0</v>
      </c>
    </row>
    <row r="123" spans="1:4" x14ac:dyDescent="0.5">
      <c r="A123">
        <v>117</v>
      </c>
      <c r="B123" t="s">
        <v>461</v>
      </c>
      <c r="C123">
        <v>0</v>
      </c>
    </row>
    <row r="124" spans="1:4" x14ac:dyDescent="0.5">
      <c r="A124">
        <v>118</v>
      </c>
      <c r="B124" t="s">
        <v>462</v>
      </c>
      <c r="C124">
        <v>0</v>
      </c>
    </row>
    <row r="125" spans="1:4" x14ac:dyDescent="0.5">
      <c r="A125">
        <v>119</v>
      </c>
      <c r="B125" t="s">
        <v>463</v>
      </c>
      <c r="C125">
        <v>0</v>
      </c>
    </row>
    <row r="126" spans="1:4" x14ac:dyDescent="0.5">
      <c r="A126">
        <v>120</v>
      </c>
      <c r="B126" t="s">
        <v>464</v>
      </c>
      <c r="C126">
        <v>0</v>
      </c>
    </row>
    <row r="127" spans="1:4" x14ac:dyDescent="0.5">
      <c r="A127">
        <v>121</v>
      </c>
      <c r="B127" t="s">
        <v>465</v>
      </c>
      <c r="C127">
        <v>144</v>
      </c>
      <c r="D127">
        <v>4</v>
      </c>
    </row>
    <row r="128" spans="1:4" x14ac:dyDescent="0.5">
      <c r="A128">
        <v>122</v>
      </c>
      <c r="B128" t="s">
        <v>466</v>
      </c>
      <c r="C128">
        <v>0</v>
      </c>
    </row>
    <row r="129" spans="1:4" x14ac:dyDescent="0.5">
      <c r="A129">
        <v>123</v>
      </c>
      <c r="B129" t="s">
        <v>467</v>
      </c>
      <c r="C129">
        <v>0</v>
      </c>
    </row>
    <row r="130" spans="1:4" x14ac:dyDescent="0.5">
      <c r="A130">
        <v>124</v>
      </c>
      <c r="B130" t="s">
        <v>468</v>
      </c>
      <c r="C130">
        <v>0</v>
      </c>
    </row>
    <row r="131" spans="1:4" x14ac:dyDescent="0.5">
      <c r="A131">
        <v>125</v>
      </c>
      <c r="B131" t="s">
        <v>469</v>
      </c>
      <c r="C131">
        <v>0</v>
      </c>
    </row>
    <row r="132" spans="1:4" x14ac:dyDescent="0.5">
      <c r="A132">
        <v>126</v>
      </c>
      <c r="B132" t="s">
        <v>470</v>
      </c>
      <c r="C132">
        <v>0</v>
      </c>
    </row>
    <row r="133" spans="1:4" x14ac:dyDescent="0.5">
      <c r="A133">
        <v>127</v>
      </c>
      <c r="B133" t="s">
        <v>471</v>
      </c>
      <c r="C133">
        <v>103</v>
      </c>
      <c r="D133">
        <v>4</v>
      </c>
    </row>
    <row r="134" spans="1:4" x14ac:dyDescent="0.5">
      <c r="A134">
        <v>128</v>
      </c>
      <c r="B134" t="s">
        <v>472</v>
      </c>
      <c r="C134">
        <v>0</v>
      </c>
    </row>
    <row r="135" spans="1:4" x14ac:dyDescent="0.5">
      <c r="A135">
        <v>129</v>
      </c>
      <c r="B135" t="s">
        <v>473</v>
      </c>
      <c r="C135">
        <v>0</v>
      </c>
    </row>
    <row r="136" spans="1:4" x14ac:dyDescent="0.5">
      <c r="A136">
        <v>130</v>
      </c>
      <c r="B136" t="s">
        <v>474</v>
      </c>
      <c r="C136">
        <v>0</v>
      </c>
    </row>
    <row r="137" spans="1:4" x14ac:dyDescent="0.5">
      <c r="A137">
        <v>131</v>
      </c>
      <c r="B137" t="s">
        <v>475</v>
      </c>
      <c r="C137">
        <v>0</v>
      </c>
    </row>
    <row r="138" spans="1:4" x14ac:dyDescent="0.5">
      <c r="A138">
        <v>132</v>
      </c>
      <c r="B138" t="s">
        <v>476</v>
      </c>
      <c r="C138">
        <v>0</v>
      </c>
    </row>
    <row r="139" spans="1:4" x14ac:dyDescent="0.5">
      <c r="A139">
        <v>133</v>
      </c>
      <c r="B139" t="s">
        <v>477</v>
      </c>
      <c r="C139">
        <v>103</v>
      </c>
      <c r="D139">
        <v>4</v>
      </c>
    </row>
    <row r="140" spans="1:4" x14ac:dyDescent="0.5">
      <c r="A140">
        <v>134</v>
      </c>
      <c r="B140" t="s">
        <v>478</v>
      </c>
      <c r="C140">
        <v>0</v>
      </c>
    </row>
    <row r="141" spans="1:4" x14ac:dyDescent="0.5">
      <c r="A141">
        <v>135</v>
      </c>
      <c r="B141" t="s">
        <v>479</v>
      </c>
      <c r="C141">
        <v>0</v>
      </c>
    </row>
    <row r="142" spans="1:4" x14ac:dyDescent="0.5">
      <c r="A142">
        <v>136</v>
      </c>
      <c r="B142" t="s">
        <v>480</v>
      </c>
      <c r="C142">
        <v>27</v>
      </c>
      <c r="D142">
        <v>4</v>
      </c>
    </row>
    <row r="143" spans="1:4" x14ac:dyDescent="0.5">
      <c r="A143">
        <v>137</v>
      </c>
      <c r="B143" t="s">
        <v>481</v>
      </c>
      <c r="C143">
        <v>0</v>
      </c>
    </row>
    <row r="144" spans="1:4" x14ac:dyDescent="0.5">
      <c r="A144">
        <v>138</v>
      </c>
      <c r="B144" t="s">
        <v>482</v>
      </c>
      <c r="C144">
        <v>0</v>
      </c>
    </row>
    <row r="145" spans="1:4" x14ac:dyDescent="0.5">
      <c r="A145">
        <v>139</v>
      </c>
      <c r="B145" t="s">
        <v>483</v>
      </c>
      <c r="C145">
        <v>0</v>
      </c>
    </row>
    <row r="146" spans="1:4" x14ac:dyDescent="0.5">
      <c r="A146">
        <v>140</v>
      </c>
      <c r="B146" t="s">
        <v>484</v>
      </c>
      <c r="C146">
        <v>0</v>
      </c>
    </row>
    <row r="147" spans="1:4" x14ac:dyDescent="0.5">
      <c r="A147">
        <v>141</v>
      </c>
      <c r="B147" t="s">
        <v>485</v>
      </c>
      <c r="C147">
        <v>0</v>
      </c>
    </row>
    <row r="148" spans="1:4" x14ac:dyDescent="0.5">
      <c r="A148">
        <v>142</v>
      </c>
      <c r="B148" t="s">
        <v>486</v>
      </c>
      <c r="C148">
        <v>0</v>
      </c>
    </row>
    <row r="149" spans="1:4" x14ac:dyDescent="0.5">
      <c r="A149">
        <v>143</v>
      </c>
      <c r="B149" t="s">
        <v>487</v>
      </c>
      <c r="C149">
        <v>0</v>
      </c>
    </row>
    <row r="150" spans="1:4" x14ac:dyDescent="0.5">
      <c r="A150">
        <v>144</v>
      </c>
      <c r="B150" t="s">
        <v>488</v>
      </c>
      <c r="C150">
        <v>0</v>
      </c>
    </row>
    <row r="151" spans="1:4" x14ac:dyDescent="0.5">
      <c r="A151">
        <v>145</v>
      </c>
      <c r="B151" t="s">
        <v>489</v>
      </c>
      <c r="C151">
        <v>27</v>
      </c>
      <c r="D151">
        <v>4</v>
      </c>
    </row>
    <row r="152" spans="1:4" x14ac:dyDescent="0.5">
      <c r="A152">
        <v>146</v>
      </c>
      <c r="B152" t="s">
        <v>490</v>
      </c>
      <c r="C152">
        <v>0</v>
      </c>
    </row>
    <row r="153" spans="1:4" x14ac:dyDescent="0.5">
      <c r="A153">
        <v>147</v>
      </c>
      <c r="B153" t="s">
        <v>491</v>
      </c>
      <c r="C153">
        <v>81</v>
      </c>
      <c r="D153">
        <v>4</v>
      </c>
    </row>
    <row r="154" spans="1:4" x14ac:dyDescent="0.5">
      <c r="A154">
        <v>148</v>
      </c>
      <c r="B154" t="s">
        <v>492</v>
      </c>
      <c r="C154">
        <v>0</v>
      </c>
    </row>
    <row r="155" spans="1:4" x14ac:dyDescent="0.5">
      <c r="A155">
        <v>149</v>
      </c>
      <c r="B155" t="s">
        <v>493</v>
      </c>
      <c r="C155">
        <v>0</v>
      </c>
    </row>
    <row r="156" spans="1:4" x14ac:dyDescent="0.5">
      <c r="A156">
        <v>150</v>
      </c>
      <c r="B156" t="s">
        <v>494</v>
      </c>
      <c r="C156">
        <v>0</v>
      </c>
    </row>
    <row r="157" spans="1:4" x14ac:dyDescent="0.5">
      <c r="A157">
        <v>151</v>
      </c>
      <c r="B157" t="s">
        <v>495</v>
      </c>
      <c r="C157">
        <v>0</v>
      </c>
    </row>
    <row r="158" spans="1:4" x14ac:dyDescent="0.5">
      <c r="A158">
        <v>152</v>
      </c>
      <c r="B158" t="s">
        <v>496</v>
      </c>
      <c r="C158">
        <v>0</v>
      </c>
    </row>
    <row r="159" spans="1:4" x14ac:dyDescent="0.5">
      <c r="A159">
        <v>153</v>
      </c>
      <c r="B159" t="s">
        <v>497</v>
      </c>
      <c r="C159">
        <v>0</v>
      </c>
    </row>
    <row r="160" spans="1:4" x14ac:dyDescent="0.5">
      <c r="A160">
        <v>154</v>
      </c>
      <c r="B160" t="s">
        <v>498</v>
      </c>
      <c r="C160">
        <v>0</v>
      </c>
    </row>
    <row r="161" spans="1:3" x14ac:dyDescent="0.5">
      <c r="A161">
        <v>155</v>
      </c>
      <c r="B161" t="s">
        <v>499</v>
      </c>
      <c r="C161">
        <v>0</v>
      </c>
    </row>
    <row r="162" spans="1:3" x14ac:dyDescent="0.5">
      <c r="A162">
        <v>156</v>
      </c>
      <c r="B162" t="s">
        <v>500</v>
      </c>
      <c r="C162">
        <v>0</v>
      </c>
    </row>
    <row r="163" spans="1:3" x14ac:dyDescent="0.5">
      <c r="A163">
        <v>157</v>
      </c>
      <c r="B163" t="s">
        <v>501</v>
      </c>
      <c r="C163">
        <v>0</v>
      </c>
    </row>
    <row r="164" spans="1:3" x14ac:dyDescent="0.5">
      <c r="A164">
        <v>158</v>
      </c>
      <c r="B164" t="s">
        <v>502</v>
      </c>
      <c r="C164">
        <v>0</v>
      </c>
    </row>
    <row r="165" spans="1:3" x14ac:dyDescent="0.5">
      <c r="A165">
        <v>159</v>
      </c>
      <c r="B165" t="s">
        <v>503</v>
      </c>
      <c r="C165">
        <v>0</v>
      </c>
    </row>
    <row r="166" spans="1:3" x14ac:dyDescent="0.5">
      <c r="A166">
        <v>160</v>
      </c>
      <c r="B166" t="s">
        <v>504</v>
      </c>
      <c r="C166">
        <v>0</v>
      </c>
    </row>
    <row r="167" spans="1:3" x14ac:dyDescent="0.5">
      <c r="A167">
        <v>161</v>
      </c>
      <c r="B167" t="s">
        <v>505</v>
      </c>
      <c r="C167">
        <v>0</v>
      </c>
    </row>
    <row r="168" spans="1:3" x14ac:dyDescent="0.5">
      <c r="A168">
        <v>162</v>
      </c>
      <c r="B168" t="s">
        <v>506</v>
      </c>
      <c r="C168">
        <v>0</v>
      </c>
    </row>
    <row r="169" spans="1:3" x14ac:dyDescent="0.5">
      <c r="A169">
        <v>163</v>
      </c>
      <c r="B169" t="s">
        <v>507</v>
      </c>
      <c r="C169">
        <v>0</v>
      </c>
    </row>
    <row r="170" spans="1:3" x14ac:dyDescent="0.5">
      <c r="A170">
        <v>164</v>
      </c>
      <c r="B170" t="s">
        <v>508</v>
      </c>
      <c r="C170">
        <v>0</v>
      </c>
    </row>
    <row r="171" spans="1:3" x14ac:dyDescent="0.5">
      <c r="A171">
        <v>165</v>
      </c>
      <c r="B171" t="s">
        <v>509</v>
      </c>
      <c r="C171">
        <v>0</v>
      </c>
    </row>
    <row r="172" spans="1:3" x14ac:dyDescent="0.5">
      <c r="A172">
        <v>166</v>
      </c>
      <c r="B172" t="s">
        <v>510</v>
      </c>
      <c r="C172">
        <v>0</v>
      </c>
    </row>
    <row r="173" spans="1:3" x14ac:dyDescent="0.5">
      <c r="A173">
        <v>167</v>
      </c>
      <c r="B173" t="s">
        <v>511</v>
      </c>
      <c r="C173">
        <v>0</v>
      </c>
    </row>
    <row r="174" spans="1:3" x14ac:dyDescent="0.5">
      <c r="A174">
        <v>168</v>
      </c>
      <c r="B174" t="s">
        <v>512</v>
      </c>
      <c r="C174">
        <v>0</v>
      </c>
    </row>
    <row r="175" spans="1:3" x14ac:dyDescent="0.5">
      <c r="A175">
        <v>169</v>
      </c>
      <c r="B175" t="s">
        <v>513</v>
      </c>
      <c r="C17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A6851-0EE8-492F-9470-36AB8420DEBD}">
  <sheetPr>
    <tabColor theme="8" tint="0.59999389629810485"/>
  </sheetPr>
  <dimension ref="A1:BD363"/>
  <sheetViews>
    <sheetView tabSelected="1" topLeftCell="AR1" zoomScale="80" zoomScaleNormal="80" workbookViewId="0">
      <selection activeCell="H27" sqref="H27:I195"/>
    </sheetView>
  </sheetViews>
  <sheetFormatPr defaultColWidth="8.76171875" defaultRowHeight="14.35" x14ac:dyDescent="0.5"/>
  <cols>
    <col min="1" max="5" width="9" style="2" hidden="1" customWidth="1"/>
    <col min="6" max="6" width="8" style="2" bestFit="1" customWidth="1"/>
    <col min="7" max="7" width="8.76171875" style="2" customWidth="1"/>
    <col min="8" max="8" width="8.76171875" style="2"/>
    <col min="9" max="10" width="19.46875" style="2" customWidth="1"/>
    <col min="11" max="11" width="18.46875" style="2" customWidth="1"/>
    <col min="12" max="12" width="16.76171875" style="2" customWidth="1"/>
    <col min="13" max="14" width="15.76171875" style="2" customWidth="1"/>
    <col min="15" max="15" width="18" style="2" customWidth="1"/>
    <col min="16" max="17" width="15.76171875" style="2" customWidth="1"/>
    <col min="18" max="21" width="15.76171875" style="2" hidden="1" customWidth="1"/>
    <col min="22" max="24" width="15.76171875" style="2" customWidth="1"/>
    <col min="25" max="25" width="16.76171875" style="2" customWidth="1"/>
    <col min="26" max="26" width="25.46875" style="2" customWidth="1"/>
    <col min="27" max="27" width="17" style="2" customWidth="1"/>
    <col min="28" max="28" width="26.52734375" style="2" customWidth="1"/>
    <col min="29" max="29" width="22.46875" style="2" customWidth="1"/>
    <col min="30" max="30" width="18.46875" style="2" customWidth="1"/>
    <col min="31" max="31" width="21.52734375" style="2" customWidth="1"/>
    <col min="32" max="32" width="18" style="2" customWidth="1"/>
    <col min="33" max="33" width="33" style="2" customWidth="1"/>
    <col min="34" max="35" width="20.46875" style="2" customWidth="1"/>
    <col min="36" max="36" width="15.46875" style="2" customWidth="1"/>
    <col min="37" max="40" width="16.46875" style="2" customWidth="1"/>
    <col min="41" max="41" width="19.52734375" style="2" customWidth="1"/>
    <col min="42" max="42" width="23" style="2" customWidth="1"/>
    <col min="43" max="45" width="17.76171875" style="2" customWidth="1"/>
    <col min="46" max="46" width="20.46875" style="2" customWidth="1"/>
    <col min="47" max="47" width="25" style="2" customWidth="1"/>
    <col min="48" max="49" width="17.76171875" style="2" customWidth="1"/>
    <col min="50" max="50" width="17.76171875" style="3" customWidth="1"/>
    <col min="51" max="51" width="21.46875" style="4" customWidth="1"/>
    <col min="52" max="56" width="15" style="2" bestFit="1" customWidth="1"/>
    <col min="57" max="16384" width="8.76171875" style="2"/>
  </cols>
  <sheetData>
    <row r="1" spans="2:51" x14ac:dyDescent="0.5">
      <c r="B1" s="1"/>
    </row>
    <row r="2" spans="2:51" x14ac:dyDescent="0.5">
      <c r="C2" s="1"/>
      <c r="D2" s="1"/>
      <c r="E2" s="1"/>
      <c r="F2" s="5" t="s">
        <v>259</v>
      </c>
      <c r="G2" s="6"/>
      <c r="H2" s="7" t="s">
        <v>0</v>
      </c>
      <c r="L2" s="8">
        <v>0.3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>
        <v>0.3</v>
      </c>
      <c r="Y2" s="9"/>
      <c r="Z2" s="5"/>
    </row>
    <row r="3" spans="2:51" x14ac:dyDescent="0.5">
      <c r="C3" s="1"/>
      <c r="D3" s="1"/>
      <c r="E3" s="1"/>
      <c r="F3" s="5" t="s">
        <v>260</v>
      </c>
      <c r="G3" s="6"/>
      <c r="H3" s="7" t="s">
        <v>1</v>
      </c>
      <c r="L3" s="10">
        <v>1.35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>
        <v>1.35</v>
      </c>
      <c r="Y3" s="9"/>
      <c r="Z3" s="5"/>
    </row>
    <row r="4" spans="2:51" x14ac:dyDescent="0.5">
      <c r="C4" s="1"/>
      <c r="D4" s="1"/>
      <c r="E4" s="1"/>
      <c r="F4" s="5" t="s">
        <v>261</v>
      </c>
      <c r="G4" s="6"/>
      <c r="H4" s="7" t="s">
        <v>2</v>
      </c>
      <c r="L4" s="8">
        <v>0.7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>
        <v>0.7</v>
      </c>
      <c r="Y4" s="9"/>
      <c r="Z4" s="5"/>
    </row>
    <row r="5" spans="2:51" x14ac:dyDescent="0.5">
      <c r="F5" s="5" t="s">
        <v>262</v>
      </c>
      <c r="G5" s="6"/>
      <c r="H5" s="2" t="s">
        <v>3</v>
      </c>
      <c r="L5" s="8">
        <v>0.3</v>
      </c>
      <c r="X5" s="8">
        <v>0.3</v>
      </c>
      <c r="Y5" s="11"/>
      <c r="AA5" s="5"/>
      <c r="AD5" s="5"/>
      <c r="AE5" s="5"/>
      <c r="AF5" s="5"/>
      <c r="AG5" s="5"/>
      <c r="AH5" s="5"/>
      <c r="AI5" s="5"/>
    </row>
    <row r="6" spans="2:51" x14ac:dyDescent="0.5">
      <c r="F6" s="5" t="s">
        <v>263</v>
      </c>
      <c r="G6" s="6"/>
      <c r="H6" s="7" t="s">
        <v>332</v>
      </c>
      <c r="L6" s="8">
        <v>0.01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>
        <v>0.01</v>
      </c>
      <c r="Y6" s="8"/>
      <c r="AA6" s="5"/>
      <c r="AD6" s="5"/>
      <c r="AE6" s="5"/>
      <c r="AF6" s="5"/>
      <c r="AG6" s="5"/>
      <c r="AH6" s="5"/>
      <c r="AI6" s="5"/>
    </row>
    <row r="7" spans="2:51" x14ac:dyDescent="0.5">
      <c r="F7" s="5" t="s">
        <v>264</v>
      </c>
      <c r="G7" s="6"/>
      <c r="H7" s="7" t="s">
        <v>333</v>
      </c>
      <c r="L7" s="8">
        <v>0.1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>
        <v>0.1</v>
      </c>
      <c r="Y7" s="8"/>
      <c r="AA7" s="5"/>
      <c r="AD7" s="5"/>
      <c r="AE7" s="5"/>
      <c r="AF7" s="5"/>
      <c r="AG7" s="5"/>
      <c r="AH7" s="5"/>
      <c r="AI7" s="5"/>
    </row>
    <row r="8" spans="2:51" x14ac:dyDescent="0.5">
      <c r="F8" s="5" t="s">
        <v>258</v>
      </c>
      <c r="G8" s="6"/>
      <c r="H8" s="7" t="s">
        <v>4</v>
      </c>
      <c r="L8" s="12">
        <v>11525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>
        <v>11525</v>
      </c>
      <c r="AA8" s="5"/>
      <c r="AD8" s="5"/>
      <c r="AE8" s="5"/>
      <c r="AF8" s="5"/>
      <c r="AG8" s="5"/>
      <c r="AH8" s="5"/>
      <c r="AI8" s="5"/>
    </row>
    <row r="9" spans="2:51" x14ac:dyDescent="0.5">
      <c r="F9" s="5" t="s">
        <v>257</v>
      </c>
      <c r="G9" s="6"/>
      <c r="H9" s="7" t="s">
        <v>317</v>
      </c>
      <c r="L9" s="13">
        <v>1</v>
      </c>
      <c r="M9" s="14"/>
      <c r="X9" s="8"/>
      <c r="Y9" s="8"/>
      <c r="Z9" s="15"/>
      <c r="AA9" s="5"/>
      <c r="AD9" s="5"/>
      <c r="AE9" s="5"/>
      <c r="AF9" s="5"/>
      <c r="AG9" s="5"/>
      <c r="AH9" s="5"/>
      <c r="AI9" s="5"/>
    </row>
    <row r="10" spans="2:51" x14ac:dyDescent="0.5">
      <c r="F10" s="5" t="s">
        <v>265</v>
      </c>
      <c r="G10" s="6"/>
      <c r="H10" s="7" t="s">
        <v>318</v>
      </c>
      <c r="L10" s="8">
        <v>0</v>
      </c>
      <c r="M10" s="16"/>
      <c r="X10" s="8"/>
      <c r="Y10" s="8"/>
      <c r="Z10" s="15"/>
      <c r="AA10" s="5"/>
      <c r="AD10" s="5" t="s">
        <v>313</v>
      </c>
      <c r="AE10" s="5"/>
      <c r="AF10" s="5"/>
      <c r="AG10" s="5"/>
      <c r="AH10" s="5"/>
      <c r="AI10" s="5"/>
    </row>
    <row r="11" spans="2:51" x14ac:dyDescent="0.5">
      <c r="F11" s="6"/>
      <c r="G11" s="6"/>
      <c r="X11" s="8"/>
      <c r="Y11" s="8"/>
      <c r="Z11" s="15"/>
      <c r="AA11" s="5"/>
      <c r="AD11" s="5" t="s">
        <v>314</v>
      </c>
      <c r="AE11" s="5"/>
      <c r="AF11" s="5"/>
      <c r="AG11" s="5"/>
      <c r="AH11" s="5"/>
      <c r="AI11" s="5"/>
    </row>
    <row r="12" spans="2:51" x14ac:dyDescent="0.5">
      <c r="F12" s="6"/>
      <c r="G12" s="6"/>
      <c r="X12" s="8"/>
      <c r="AA12" s="5"/>
      <c r="AD12" s="5" t="s">
        <v>315</v>
      </c>
      <c r="AE12" s="5"/>
      <c r="AF12" s="5"/>
      <c r="AG12" s="5"/>
      <c r="AH12" s="5"/>
      <c r="AI12" s="5"/>
      <c r="AY12" s="17"/>
    </row>
    <row r="13" spans="2:51" x14ac:dyDescent="0.5">
      <c r="F13" s="6"/>
      <c r="G13" s="6"/>
      <c r="X13" s="8"/>
      <c r="AA13" s="5"/>
      <c r="AD13" s="5" t="s">
        <v>316</v>
      </c>
      <c r="AE13" s="5"/>
      <c r="AF13" s="5"/>
      <c r="AG13" s="5"/>
      <c r="AH13" s="5"/>
      <c r="AI13" s="5"/>
    </row>
    <row r="14" spans="2:51" x14ac:dyDescent="0.5">
      <c r="F14" s="6"/>
      <c r="G14" s="6"/>
      <c r="X14" s="8"/>
      <c r="AA14" s="5"/>
      <c r="AD14" s="5"/>
      <c r="AE14" s="5"/>
      <c r="AF14" s="5"/>
      <c r="AG14" s="5"/>
      <c r="AH14" s="5"/>
      <c r="AI14" s="5"/>
    </row>
    <row r="15" spans="2:51" x14ac:dyDescent="0.5">
      <c r="F15" s="6"/>
      <c r="G15" s="6"/>
      <c r="X15" s="8"/>
      <c r="AA15" s="5"/>
      <c r="AD15" s="5"/>
      <c r="AE15" s="5"/>
      <c r="AF15" s="5"/>
      <c r="AG15" s="5"/>
      <c r="AH15" s="5"/>
      <c r="AI15" s="5"/>
      <c r="AY15" s="17"/>
    </row>
    <row r="16" spans="2:51" x14ac:dyDescent="0.5">
      <c r="H16" s="18"/>
      <c r="K16" s="19"/>
      <c r="L16" s="19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20"/>
      <c r="X16" s="10"/>
      <c r="Y16" s="10"/>
      <c r="Z16" s="5"/>
      <c r="AA16" s="21"/>
      <c r="AB16" s="5"/>
      <c r="AC16" s="22"/>
      <c r="AD16" s="5"/>
      <c r="AE16" s="5"/>
      <c r="AF16" s="5"/>
      <c r="AG16" s="23"/>
      <c r="AH16" s="23"/>
      <c r="AI16" s="23"/>
      <c r="AJ16" s="21"/>
      <c r="AN16" s="2" t="s">
        <v>275</v>
      </c>
      <c r="AO16" s="24">
        <f>+AO17+AL17</f>
        <v>24292400</v>
      </c>
      <c r="AP16" s="21"/>
      <c r="AQ16" s="21"/>
      <c r="AR16" s="21"/>
      <c r="AS16" s="21"/>
      <c r="AT16" s="21"/>
      <c r="AU16" s="21"/>
      <c r="AV16" s="21"/>
      <c r="AW16" s="21"/>
      <c r="AX16" s="25"/>
      <c r="AY16" s="26"/>
    </row>
    <row r="17" spans="1:56" x14ac:dyDescent="0.5">
      <c r="C17" s="21">
        <f>SUM(C27:C195)</f>
        <v>36</v>
      </c>
      <c r="D17" s="21">
        <f>SUM(D27:D195)</f>
        <v>26</v>
      </c>
      <c r="E17" s="21">
        <f>SUM(E27:E195)</f>
        <v>10</v>
      </c>
      <c r="I17" s="27" t="s">
        <v>5</v>
      </c>
      <c r="J17" s="21"/>
      <c r="K17" s="10">
        <f t="shared" ref="K17:AB17" si="0">SUM(K27:K195)</f>
        <v>467942.07999999996</v>
      </c>
      <c r="L17" s="10">
        <f t="shared" si="0"/>
        <v>0</v>
      </c>
      <c r="M17" s="21">
        <f t="shared" si="0"/>
        <v>203179</v>
      </c>
      <c r="N17" s="64">
        <f t="shared" si="0"/>
        <v>60953.69999999999</v>
      </c>
      <c r="O17" s="64">
        <f t="shared" si="0"/>
        <v>280765.28000000003</v>
      </c>
      <c r="P17" s="64">
        <f t="shared" si="0"/>
        <v>21509.13</v>
      </c>
      <c r="Q17" s="64">
        <f t="shared" si="0"/>
        <v>3226.3700000000003</v>
      </c>
      <c r="R17" s="19"/>
      <c r="S17" s="19"/>
      <c r="T17" s="19"/>
      <c r="U17" s="64">
        <f t="shared" si="0"/>
        <v>3218.01</v>
      </c>
      <c r="V17" s="19">
        <f t="shared" si="0"/>
        <v>53358</v>
      </c>
      <c r="W17" s="19">
        <f>SUM(W27:W195)</f>
        <v>13339.5</v>
      </c>
      <c r="X17" s="10">
        <f t="shared" si="0"/>
        <v>60953.69999999999</v>
      </c>
      <c r="Y17" s="10">
        <f t="shared" si="0"/>
        <v>545461.64999999979</v>
      </c>
      <c r="Z17" s="10">
        <f t="shared" si="0"/>
        <v>791074036381.00012</v>
      </c>
      <c r="AA17" s="21">
        <f t="shared" si="0"/>
        <v>3586686</v>
      </c>
      <c r="AB17" s="10">
        <f t="shared" si="0"/>
        <v>41538849.449999996</v>
      </c>
      <c r="AC17" s="28">
        <f>SUM(AC27:AC195)</f>
        <v>150.76480699999999</v>
      </c>
      <c r="AD17" s="21">
        <f>SUM(AD27:AD195)</f>
        <v>19212892</v>
      </c>
      <c r="AE17" s="21"/>
      <c r="AF17" s="28">
        <f>SUM(AF27:AF195)</f>
        <v>23.809662000000007</v>
      </c>
      <c r="AG17" s="28">
        <f>SUM(AG27:AG195)</f>
        <v>40.509197</v>
      </c>
      <c r="AH17" s="28"/>
      <c r="AI17" s="28"/>
      <c r="AJ17" s="21">
        <f t="shared" ref="AJ17:AU17" si="1">SUM(AJ27:AJ195)</f>
        <v>21432</v>
      </c>
      <c r="AK17" s="21">
        <f t="shared" si="1"/>
        <v>413</v>
      </c>
      <c r="AL17" s="21">
        <f t="shared" si="1"/>
        <v>22967000</v>
      </c>
      <c r="AM17" s="21">
        <f t="shared" si="1"/>
        <v>3112</v>
      </c>
      <c r="AN17" s="21">
        <f t="shared" si="1"/>
        <v>66</v>
      </c>
      <c r="AO17" s="21">
        <f t="shared" si="1"/>
        <v>1325400</v>
      </c>
      <c r="AP17" s="21">
        <f t="shared" si="1"/>
        <v>2205490051</v>
      </c>
      <c r="AQ17" s="21">
        <f t="shared" si="1"/>
        <v>2229782451</v>
      </c>
      <c r="AR17" s="21">
        <f t="shared" si="1"/>
        <v>2017587098</v>
      </c>
      <c r="AS17" s="21">
        <f t="shared" si="1"/>
        <v>2351536335</v>
      </c>
      <c r="AT17" s="21">
        <f>SUM(AT27:AT195)</f>
        <v>2456045858</v>
      </c>
      <c r="AU17" s="21">
        <f t="shared" si="1"/>
        <v>231553301</v>
      </c>
      <c r="AV17" s="21"/>
      <c r="AW17" s="21">
        <f t="shared" ref="AW17" si="2">SUM(AW27:AW195)</f>
        <v>2644947</v>
      </c>
      <c r="AX17" s="25">
        <f>SUM(AX27:AX195)</f>
        <v>2458690805</v>
      </c>
      <c r="AY17" s="26">
        <f>SUM(AY27:AY195)</f>
        <v>2458690805</v>
      </c>
      <c r="AZ17" s="21"/>
      <c r="BA17" s="21"/>
      <c r="BB17" s="21"/>
      <c r="BC17" s="21"/>
      <c r="BD17" s="21"/>
    </row>
    <row r="18" spans="1:56" x14ac:dyDescent="0.5">
      <c r="I18" s="21"/>
      <c r="J18" s="21"/>
      <c r="K18" s="5">
        <v>1</v>
      </c>
      <c r="L18" s="5"/>
      <c r="M18" s="29">
        <f>K18+1</f>
        <v>2</v>
      </c>
      <c r="N18" s="42">
        <f>M18+1</f>
        <v>3</v>
      </c>
      <c r="O18" s="42">
        <f t="shared" ref="O18:Q18" si="3">N18+1</f>
        <v>4</v>
      </c>
      <c r="P18" s="42">
        <f t="shared" si="3"/>
        <v>5</v>
      </c>
      <c r="Q18" s="42">
        <f t="shared" si="3"/>
        <v>6</v>
      </c>
      <c r="R18" s="42"/>
      <c r="S18" s="42"/>
      <c r="T18" s="42"/>
      <c r="U18" s="42"/>
      <c r="V18" s="42">
        <f>Q18+1</f>
        <v>7</v>
      </c>
      <c r="W18" s="42">
        <f>V18+1</f>
        <v>8</v>
      </c>
      <c r="X18" s="29"/>
      <c r="Y18" s="29">
        <v>9</v>
      </c>
      <c r="Z18" s="29">
        <v>10</v>
      </c>
      <c r="AA18" s="29">
        <f t="shared" ref="AA18:AX18" si="4">Z18+1</f>
        <v>11</v>
      </c>
      <c r="AB18" s="29">
        <f t="shared" si="4"/>
        <v>12</v>
      </c>
      <c r="AC18" s="29">
        <f t="shared" si="4"/>
        <v>13</v>
      </c>
      <c r="AD18" s="29">
        <f t="shared" si="4"/>
        <v>14</v>
      </c>
      <c r="AE18" s="29">
        <f t="shared" si="4"/>
        <v>15</v>
      </c>
      <c r="AF18" s="29">
        <f t="shared" si="4"/>
        <v>16</v>
      </c>
      <c r="AG18" s="29">
        <f t="shared" si="4"/>
        <v>17</v>
      </c>
      <c r="AH18" s="29">
        <f t="shared" si="4"/>
        <v>18</v>
      </c>
      <c r="AI18" s="29">
        <f t="shared" si="4"/>
        <v>19</v>
      </c>
      <c r="AJ18" s="29">
        <f t="shared" si="4"/>
        <v>20</v>
      </c>
      <c r="AK18" s="29">
        <f t="shared" si="4"/>
        <v>21</v>
      </c>
      <c r="AL18" s="29">
        <f t="shared" si="4"/>
        <v>22</v>
      </c>
      <c r="AM18" s="29">
        <f t="shared" si="4"/>
        <v>23</v>
      </c>
      <c r="AN18" s="29">
        <f t="shared" si="4"/>
        <v>24</v>
      </c>
      <c r="AO18" s="29">
        <f t="shared" si="4"/>
        <v>25</v>
      </c>
      <c r="AP18" s="29">
        <f t="shared" si="4"/>
        <v>26</v>
      </c>
      <c r="AQ18" s="29">
        <f t="shared" si="4"/>
        <v>27</v>
      </c>
      <c r="AR18" s="29">
        <f t="shared" si="4"/>
        <v>28</v>
      </c>
      <c r="AS18" s="29">
        <f t="shared" si="4"/>
        <v>29</v>
      </c>
      <c r="AT18" s="29">
        <f t="shared" si="4"/>
        <v>30</v>
      </c>
      <c r="AU18" s="29">
        <f t="shared" si="4"/>
        <v>31</v>
      </c>
      <c r="AV18" s="29">
        <f t="shared" si="4"/>
        <v>32</v>
      </c>
      <c r="AW18" s="29">
        <f t="shared" si="4"/>
        <v>33</v>
      </c>
      <c r="AX18" s="30">
        <f t="shared" si="4"/>
        <v>34</v>
      </c>
      <c r="AY18" s="31"/>
      <c r="BA18" s="21"/>
      <c r="BB18" s="21"/>
      <c r="BC18" s="21"/>
      <c r="BD18" s="21"/>
    </row>
    <row r="19" spans="1:56" x14ac:dyDescent="0.5">
      <c r="I19" s="21"/>
      <c r="J19" s="21"/>
      <c r="N19" s="7"/>
      <c r="O19" s="7"/>
      <c r="P19" s="7"/>
      <c r="Q19" s="7"/>
      <c r="R19" s="7"/>
      <c r="S19" s="7"/>
      <c r="T19" s="7"/>
      <c r="U19" s="7"/>
      <c r="V19" s="7"/>
      <c r="W19" s="7"/>
      <c r="AB19" s="32" t="s">
        <v>6</v>
      </c>
      <c r="AC19" s="32" t="s">
        <v>7</v>
      </c>
      <c r="AD19" s="32" t="s">
        <v>6</v>
      </c>
      <c r="AE19" s="32" t="s">
        <v>8</v>
      </c>
      <c r="AF19" s="32"/>
      <c r="AG19" s="33" t="s">
        <v>9</v>
      </c>
      <c r="AH19" s="33"/>
      <c r="AI19" s="33"/>
      <c r="AP19" s="32" t="s">
        <v>10</v>
      </c>
      <c r="AT19" s="70"/>
    </row>
    <row r="20" spans="1:56" ht="28.7" x14ac:dyDescent="0.5">
      <c r="I20" s="21"/>
      <c r="J20" s="21"/>
      <c r="M20" s="33" t="s">
        <v>11</v>
      </c>
      <c r="N20" s="33"/>
      <c r="O20" s="33"/>
      <c r="P20" s="60" t="s">
        <v>305</v>
      </c>
      <c r="Q20" s="33" t="s">
        <v>276</v>
      </c>
      <c r="R20" s="33"/>
      <c r="S20" s="33"/>
      <c r="T20" s="33"/>
      <c r="U20" s="33"/>
      <c r="V20" s="33"/>
      <c r="W20" s="33"/>
      <c r="AB20" s="65">
        <f>MEDIAN(AB27:AB195)</f>
        <v>204089.53</v>
      </c>
      <c r="AC20" s="66" t="s">
        <v>12</v>
      </c>
      <c r="AD20" s="67">
        <f>MEDIAN(AD27:AD195)</f>
        <v>107667</v>
      </c>
      <c r="AE20" s="66" t="s">
        <v>12</v>
      </c>
      <c r="AF20" s="33" t="s">
        <v>13</v>
      </c>
      <c r="AG20" s="33" t="s">
        <v>330</v>
      </c>
      <c r="AH20" s="33"/>
      <c r="AI20" s="33"/>
      <c r="AL20" s="7"/>
      <c r="AM20" s="7"/>
      <c r="AN20" s="7"/>
      <c r="AO20" s="7"/>
      <c r="AP20" s="34" t="s">
        <v>15</v>
      </c>
      <c r="AQ20" s="5"/>
      <c r="AR20" s="5"/>
      <c r="AS20" s="5"/>
      <c r="AT20" s="5"/>
      <c r="AU20" s="5"/>
      <c r="AV20" s="5"/>
      <c r="AW20" s="5"/>
      <c r="AX20" s="35"/>
      <c r="AY20" s="36"/>
    </row>
    <row r="21" spans="1:56" x14ac:dyDescent="0.5">
      <c r="K21" s="5"/>
      <c r="L21" s="5"/>
      <c r="M21" s="33" t="s">
        <v>16</v>
      </c>
      <c r="N21" s="33" t="s">
        <v>251</v>
      </c>
      <c r="O21" s="33" t="s">
        <v>302</v>
      </c>
      <c r="P21" s="33" t="s">
        <v>276</v>
      </c>
      <c r="Q21" s="33" t="s">
        <v>37</v>
      </c>
      <c r="R21" s="33"/>
      <c r="S21" s="33"/>
      <c r="T21" s="33"/>
      <c r="U21" s="33"/>
      <c r="V21" s="33"/>
      <c r="W21" s="33" t="s">
        <v>55</v>
      </c>
      <c r="Z21" s="5" t="s">
        <v>17</v>
      </c>
      <c r="AB21" s="33"/>
      <c r="AC21" s="68">
        <f>ROUND(AB20*$X$3,2)</f>
        <v>275520.87</v>
      </c>
      <c r="AD21" s="33" t="s">
        <v>18</v>
      </c>
      <c r="AE21" s="68">
        <f>ROUND(AD20*$X$3,2)</f>
        <v>145350.45000000001</v>
      </c>
      <c r="AF21" s="33" t="s">
        <v>19</v>
      </c>
      <c r="AG21" s="33" t="s">
        <v>20</v>
      </c>
      <c r="AH21" s="33" t="s">
        <v>303</v>
      </c>
      <c r="AI21" s="33" t="s">
        <v>304</v>
      </c>
      <c r="AJ21" s="5" t="s">
        <v>21</v>
      </c>
      <c r="AK21" s="5" t="s">
        <v>22</v>
      </c>
      <c r="AL21" s="33" t="s">
        <v>14</v>
      </c>
      <c r="AM21" s="33" t="s">
        <v>21</v>
      </c>
      <c r="AN21" s="33" t="s">
        <v>22</v>
      </c>
      <c r="AO21" s="33" t="s">
        <v>277</v>
      </c>
      <c r="AP21" s="69">
        <f>X8</f>
        <v>11525</v>
      </c>
      <c r="AT21" s="14"/>
      <c r="AU21" s="5" t="s">
        <v>254</v>
      </c>
      <c r="AX21" s="38" t="s">
        <v>340</v>
      </c>
      <c r="AY21" s="39" t="s">
        <v>340</v>
      </c>
    </row>
    <row r="22" spans="1:56" x14ac:dyDescent="0.5">
      <c r="K22" s="33" t="s">
        <v>11</v>
      </c>
      <c r="L22" s="33"/>
      <c r="M22" s="33" t="s">
        <v>24</v>
      </c>
      <c r="N22" s="33" t="s">
        <v>278</v>
      </c>
      <c r="O22" s="33" t="s">
        <v>279</v>
      </c>
      <c r="P22" s="33" t="s">
        <v>37</v>
      </c>
      <c r="Q22" s="33" t="s">
        <v>21</v>
      </c>
      <c r="R22" s="33"/>
      <c r="S22" s="33" t="s">
        <v>270</v>
      </c>
      <c r="T22" s="33"/>
      <c r="U22" s="33"/>
      <c r="V22" s="33"/>
      <c r="W22" s="33" t="s">
        <v>280</v>
      </c>
      <c r="X22" s="5" t="s">
        <v>25</v>
      </c>
      <c r="Y22" s="5" t="s">
        <v>26</v>
      </c>
      <c r="Z22" s="5" t="s">
        <v>27</v>
      </c>
      <c r="AB22" s="33" t="s">
        <v>28</v>
      </c>
      <c r="AC22" s="66" t="s">
        <v>29</v>
      </c>
      <c r="AD22" s="33" t="s">
        <v>30</v>
      </c>
      <c r="AE22" s="66" t="s">
        <v>29</v>
      </c>
      <c r="AF22" s="33" t="s">
        <v>31</v>
      </c>
      <c r="AG22" s="33" t="s">
        <v>281</v>
      </c>
      <c r="AH22" s="33" t="s">
        <v>282</v>
      </c>
      <c r="AI22" s="33" t="s">
        <v>282</v>
      </c>
      <c r="AJ22" s="5" t="s">
        <v>32</v>
      </c>
      <c r="AK22" s="5" t="s">
        <v>14</v>
      </c>
      <c r="AL22" s="33" t="s">
        <v>23</v>
      </c>
      <c r="AM22" s="33" t="s">
        <v>32</v>
      </c>
      <c r="AN22" s="33" t="s">
        <v>277</v>
      </c>
      <c r="AO22" s="33" t="s">
        <v>283</v>
      </c>
      <c r="AP22" s="33" t="s">
        <v>33</v>
      </c>
      <c r="AQ22" s="33" t="s">
        <v>34</v>
      </c>
      <c r="AR22" s="5"/>
      <c r="AS22" s="5" t="s">
        <v>34</v>
      </c>
      <c r="AT22" s="14"/>
      <c r="AU22" s="33" t="s">
        <v>19</v>
      </c>
      <c r="AV22" s="5" t="s">
        <v>34</v>
      </c>
      <c r="AX22" s="30" t="s">
        <v>63</v>
      </c>
      <c r="AY22" s="31" t="s">
        <v>306</v>
      </c>
    </row>
    <row r="23" spans="1:56" x14ac:dyDescent="0.5">
      <c r="B23" s="5"/>
      <c r="C23" s="5"/>
      <c r="D23" s="5" t="s">
        <v>35</v>
      </c>
      <c r="E23" s="5"/>
      <c r="F23" s="5" t="s">
        <v>36</v>
      </c>
      <c r="G23" s="5"/>
      <c r="K23" s="5" t="s">
        <v>37</v>
      </c>
      <c r="L23" s="5"/>
      <c r="M23" s="33" t="s">
        <v>38</v>
      </c>
      <c r="N23" s="33" t="s">
        <v>284</v>
      </c>
      <c r="O23" s="33" t="s">
        <v>37</v>
      </c>
      <c r="P23" s="33" t="s">
        <v>21</v>
      </c>
      <c r="Q23" s="33" t="s">
        <v>280</v>
      </c>
      <c r="R23" s="33"/>
      <c r="S23" s="33" t="s">
        <v>271</v>
      </c>
      <c r="T23" s="33" t="s">
        <v>249</v>
      </c>
      <c r="U23" s="33"/>
      <c r="V23" s="33" t="s">
        <v>55</v>
      </c>
      <c r="W23" s="33" t="s">
        <v>41</v>
      </c>
      <c r="X23" s="5" t="s">
        <v>39</v>
      </c>
      <c r="Y23" s="5" t="s">
        <v>21</v>
      </c>
      <c r="Z23" s="5" t="s">
        <v>40</v>
      </c>
      <c r="AA23" s="5" t="s">
        <v>41</v>
      </c>
      <c r="AB23" s="33" t="s">
        <v>42</v>
      </c>
      <c r="AC23" s="33" t="s">
        <v>43</v>
      </c>
      <c r="AD23" s="33" t="s">
        <v>44</v>
      </c>
      <c r="AE23" s="33" t="s">
        <v>45</v>
      </c>
      <c r="AF23" s="42" t="s">
        <v>319</v>
      </c>
      <c r="AG23" s="33" t="s">
        <v>331</v>
      </c>
      <c r="AH23" s="33" t="s">
        <v>285</v>
      </c>
      <c r="AI23" s="33" t="s">
        <v>286</v>
      </c>
      <c r="AJ23" s="5" t="s">
        <v>14</v>
      </c>
      <c r="AK23" s="5" t="s">
        <v>23</v>
      </c>
      <c r="AL23" s="33" t="s">
        <v>46</v>
      </c>
      <c r="AM23" s="33" t="s">
        <v>277</v>
      </c>
      <c r="AN23" s="33" t="s">
        <v>283</v>
      </c>
      <c r="AO23" s="33" t="s">
        <v>46</v>
      </c>
      <c r="AP23" s="33" t="s">
        <v>47</v>
      </c>
      <c r="AQ23" s="33" t="s">
        <v>48</v>
      </c>
      <c r="AR23" s="33" t="s">
        <v>49</v>
      </c>
      <c r="AS23" s="33" t="s">
        <v>300</v>
      </c>
      <c r="AT23" s="33" t="s">
        <v>298</v>
      </c>
      <c r="AU23" s="29" t="s">
        <v>20</v>
      </c>
      <c r="AV23" s="33" t="s">
        <v>255</v>
      </c>
      <c r="AW23" s="33"/>
      <c r="AX23" s="40" t="s">
        <v>253</v>
      </c>
      <c r="AY23" s="41" t="s">
        <v>274</v>
      </c>
    </row>
    <row r="24" spans="1:56" x14ac:dyDescent="0.5">
      <c r="B24" s="5" t="s">
        <v>50</v>
      </c>
      <c r="C24" s="33" t="s">
        <v>35</v>
      </c>
      <c r="D24" s="33" t="s">
        <v>51</v>
      </c>
      <c r="E24" s="33" t="s">
        <v>52</v>
      </c>
      <c r="F24" s="33" t="s">
        <v>13</v>
      </c>
      <c r="G24" s="33" t="s">
        <v>250</v>
      </c>
      <c r="H24" s="5" t="s">
        <v>53</v>
      </c>
      <c r="I24" s="2" t="s">
        <v>53</v>
      </c>
      <c r="K24" s="5" t="s">
        <v>21</v>
      </c>
      <c r="L24" s="5"/>
      <c r="M24" s="33" t="s">
        <v>54</v>
      </c>
      <c r="N24" s="33" t="s">
        <v>24</v>
      </c>
      <c r="O24" s="33" t="s">
        <v>21</v>
      </c>
      <c r="P24" s="42" t="s">
        <v>287</v>
      </c>
      <c r="Q24" s="42" t="s">
        <v>288</v>
      </c>
      <c r="R24" s="33"/>
      <c r="S24" s="33"/>
      <c r="T24" s="33" t="s">
        <v>251</v>
      </c>
      <c r="U24" s="33"/>
      <c r="V24" s="5" t="s">
        <v>21</v>
      </c>
      <c r="W24" s="5" t="s">
        <v>289</v>
      </c>
      <c r="X24" s="33" t="s">
        <v>56</v>
      </c>
      <c r="Y24" s="5" t="s">
        <v>290</v>
      </c>
      <c r="Z24" s="5" t="s">
        <v>57</v>
      </c>
      <c r="AA24" s="5" t="s">
        <v>58</v>
      </c>
      <c r="AB24" s="42" t="s">
        <v>59</v>
      </c>
      <c r="AC24" s="33" t="s">
        <v>327</v>
      </c>
      <c r="AD24" s="33" t="s">
        <v>60</v>
      </c>
      <c r="AE24" s="33" t="s">
        <v>328</v>
      </c>
      <c r="AF24" s="42" t="s">
        <v>61</v>
      </c>
      <c r="AG24" s="33" t="s">
        <v>20</v>
      </c>
      <c r="AH24" s="33" t="s">
        <v>31</v>
      </c>
      <c r="AI24" s="42" t="s">
        <v>308</v>
      </c>
      <c r="AJ24" s="5" t="s">
        <v>23</v>
      </c>
      <c r="AK24" s="5" t="s">
        <v>62</v>
      </c>
      <c r="AL24" s="33" t="s">
        <v>309</v>
      </c>
      <c r="AM24" s="33" t="s">
        <v>283</v>
      </c>
      <c r="AN24" s="33" t="s">
        <v>62</v>
      </c>
      <c r="AO24" s="33" t="s">
        <v>310</v>
      </c>
      <c r="AP24" s="33" t="s">
        <v>323</v>
      </c>
      <c r="AQ24" s="42" t="s">
        <v>324</v>
      </c>
      <c r="AR24" s="29" t="s">
        <v>63</v>
      </c>
      <c r="AS24" s="29" t="s">
        <v>301</v>
      </c>
      <c r="AT24" s="29" t="s">
        <v>63</v>
      </c>
      <c r="AU24" s="33" t="s">
        <v>334</v>
      </c>
      <c r="AV24" s="29" t="s">
        <v>299</v>
      </c>
      <c r="AW24" s="29" t="s">
        <v>266</v>
      </c>
      <c r="AX24" s="30" t="s">
        <v>268</v>
      </c>
      <c r="AY24" s="31" t="s">
        <v>307</v>
      </c>
    </row>
    <row r="25" spans="1:56" x14ac:dyDescent="0.5">
      <c r="A25" s="5" t="s">
        <v>64</v>
      </c>
      <c r="B25" s="5" t="s">
        <v>65</v>
      </c>
      <c r="C25" s="33" t="s">
        <v>65</v>
      </c>
      <c r="D25" s="33" t="s">
        <v>52</v>
      </c>
      <c r="E25" s="33" t="s">
        <v>65</v>
      </c>
      <c r="F25" s="5" t="s">
        <v>66</v>
      </c>
      <c r="G25" s="5" t="s">
        <v>339</v>
      </c>
      <c r="H25" s="5" t="s">
        <v>67</v>
      </c>
      <c r="I25" s="2" t="s">
        <v>68</v>
      </c>
      <c r="K25" s="33" t="s">
        <v>343</v>
      </c>
      <c r="L25" s="33"/>
      <c r="M25" s="33" t="s">
        <v>343</v>
      </c>
      <c r="N25" s="42" t="s">
        <v>291</v>
      </c>
      <c r="O25" s="42" t="s">
        <v>292</v>
      </c>
      <c r="P25" s="42" t="s">
        <v>337</v>
      </c>
      <c r="Q25" s="42" t="s">
        <v>21</v>
      </c>
      <c r="R25" s="33"/>
      <c r="S25" s="33"/>
      <c r="T25" s="33" t="s">
        <v>272</v>
      </c>
      <c r="U25" s="33"/>
      <c r="V25" s="33" t="s">
        <v>343</v>
      </c>
      <c r="W25" s="29" t="s">
        <v>293</v>
      </c>
      <c r="X25" s="5" t="s">
        <v>69</v>
      </c>
      <c r="Y25" s="29" t="s">
        <v>294</v>
      </c>
      <c r="Z25" s="33" t="s">
        <v>344</v>
      </c>
      <c r="AA25" s="5">
        <v>2023</v>
      </c>
      <c r="AB25" s="33" t="s">
        <v>329</v>
      </c>
      <c r="AC25" s="33" t="s">
        <v>70</v>
      </c>
      <c r="AD25" s="5">
        <v>2023</v>
      </c>
      <c r="AE25" s="33" t="s">
        <v>70</v>
      </c>
      <c r="AF25" s="33" t="s">
        <v>320</v>
      </c>
      <c r="AG25" s="33" t="s">
        <v>321</v>
      </c>
      <c r="AH25" s="33"/>
      <c r="AI25" s="33"/>
      <c r="AJ25" s="33" t="s">
        <v>343</v>
      </c>
      <c r="AK25" s="33" t="s">
        <v>343</v>
      </c>
      <c r="AL25" s="33" t="s">
        <v>322</v>
      </c>
      <c r="AM25" s="33" t="s">
        <v>343</v>
      </c>
      <c r="AN25" s="33" t="s">
        <v>343</v>
      </c>
      <c r="AO25" s="33" t="s">
        <v>325</v>
      </c>
      <c r="AP25" s="33" t="s">
        <v>295</v>
      </c>
      <c r="AQ25" s="33" t="s">
        <v>326</v>
      </c>
      <c r="AR25" s="33" t="s">
        <v>252</v>
      </c>
      <c r="AS25" s="37"/>
      <c r="AT25" s="33" t="s">
        <v>253</v>
      </c>
      <c r="AU25" s="29" t="s">
        <v>312</v>
      </c>
      <c r="AV25" s="42" t="s">
        <v>256</v>
      </c>
      <c r="AW25" s="33" t="s">
        <v>267</v>
      </c>
      <c r="AX25" s="40" t="s">
        <v>269</v>
      </c>
      <c r="AY25" s="43" t="s">
        <v>311</v>
      </c>
    </row>
    <row r="26" spans="1:56" ht="74.7" customHeight="1" x14ac:dyDescent="0.5">
      <c r="C26" s="7"/>
      <c r="D26" s="7"/>
      <c r="E26" s="7"/>
      <c r="F26" s="7"/>
      <c r="G26" s="7"/>
      <c r="P26" s="5" t="s">
        <v>296</v>
      </c>
      <c r="Q26" s="29" t="s">
        <v>297</v>
      </c>
      <c r="T26" s="2" t="s">
        <v>273</v>
      </c>
      <c r="AL26" s="7"/>
      <c r="AM26" s="7"/>
      <c r="AN26" s="7"/>
      <c r="AO26" s="7"/>
      <c r="AP26" s="7"/>
      <c r="AU26" s="61" t="s">
        <v>338</v>
      </c>
      <c r="AV26" s="61" t="s">
        <v>335</v>
      </c>
      <c r="AW26" s="61" t="s">
        <v>342</v>
      </c>
      <c r="AX26" s="62" t="s">
        <v>341</v>
      </c>
      <c r="AY26" s="63" t="s">
        <v>336</v>
      </c>
    </row>
    <row r="27" spans="1:56" x14ac:dyDescent="0.5">
      <c r="A27" s="5" t="s">
        <v>71</v>
      </c>
      <c r="B27" s="5"/>
      <c r="C27" s="33"/>
      <c r="D27" s="33"/>
      <c r="E27" s="33"/>
      <c r="F27" s="2">
        <v>7</v>
      </c>
      <c r="G27">
        <v>0</v>
      </c>
      <c r="H27" s="5">
        <v>1</v>
      </c>
      <c r="I27" s="2" t="s">
        <v>72</v>
      </c>
      <c r="J27" s="45"/>
      <c r="K27">
        <v>328.05</v>
      </c>
      <c r="L27"/>
      <c r="M27">
        <v>97</v>
      </c>
      <c r="N27" s="46">
        <f>ROUND(M27*0.3,2)</f>
        <v>29.1</v>
      </c>
      <c r="O27" s="46">
        <f>ROUND(K27*0.6,2)</f>
        <v>196.83</v>
      </c>
      <c r="P27" s="46">
        <f>MAX(M27-O27,0)</f>
        <v>0</v>
      </c>
      <c r="Q27" s="46">
        <f>ROUND(P27*0.15,2)</f>
        <v>0</v>
      </c>
      <c r="R27" s="47">
        <f>ROUND(M27/K27,2)</f>
        <v>0.3</v>
      </c>
      <c r="S27" s="47">
        <f t="shared" ref="S27:S90" si="5">IF(R27&gt;0.6,+R27-0.6,0)</f>
        <v>0</v>
      </c>
      <c r="T27" s="46">
        <f t="shared" ref="T27:T90" si="6">ROUND(S27*K27,2)</f>
        <v>0</v>
      </c>
      <c r="U27" s="46">
        <f>ROUND(T27*0.15,2)</f>
        <v>0</v>
      </c>
      <c r="V27">
        <v>9</v>
      </c>
      <c r="W27" s="46">
        <f>ROUND(V27*0.25,2)</f>
        <v>2.25</v>
      </c>
      <c r="X27" s="22">
        <f>ROUND(M27*$X$2,2)</f>
        <v>29.1</v>
      </c>
      <c r="Y27" s="10">
        <f>+K27+N27+Q27+W27</f>
        <v>359.40000000000003</v>
      </c>
      <c r="Z27" s="72">
        <v>516604221.67000002</v>
      </c>
      <c r="AA27" s="71">
        <v>3148</v>
      </c>
      <c r="AB27" s="22">
        <f t="shared" ref="AB27:AB90" si="7">ROUND(Z27/AA27,2)</f>
        <v>164105.53</v>
      </c>
      <c r="AC27" s="9">
        <f t="shared" ref="AC27:AC90" si="8">(ROUND(AB27/$AC$21,6))</f>
        <v>0.59561900000000001</v>
      </c>
      <c r="AD27" s="71">
        <v>127335</v>
      </c>
      <c r="AE27" s="9">
        <f t="shared" ref="AE27:AE90" si="9">(ROUND(AD27/$AE$21,6))</f>
        <v>0.87605500000000003</v>
      </c>
      <c r="AF27" s="9">
        <f>ROUND(1-((AC27*$L$4)+(AE27*$L$5)),6)</f>
        <v>0.32024999999999998</v>
      </c>
      <c r="AG27" s="49">
        <f t="shared" ref="AG27:AG90" si="10">IF(OR(B27=1,C27=1),MAX($L$7,AF27),MAX($L$6,AF27))</f>
        <v>0.32024999999999998</v>
      </c>
      <c r="AH27" s="50">
        <f t="shared" ref="AH27:AH90" si="11">IF(G27&gt;=1,IF(G27&lt;=5,0.06,IF(G27&lt;=10,0.05,IF(G27&lt;=15,0.04,IF(G27&lt;=19,0.03,0)))),0)</f>
        <v>0</v>
      </c>
      <c r="AI27" s="51">
        <f>+AH27+AG27</f>
        <v>0.32024999999999998</v>
      </c>
      <c r="AJ27">
        <v>139</v>
      </c>
      <c r="AK27">
        <v>6</v>
      </c>
      <c r="AL27" s="21">
        <f>ROUND(AJ27*AK27*100,0)</f>
        <v>83400</v>
      </c>
      <c r="AM27">
        <v>0</v>
      </c>
      <c r="AN27">
        <v>0</v>
      </c>
      <c r="AO27" s="21">
        <f>ROUND(AM27*AN27*100,0)</f>
        <v>0</v>
      </c>
      <c r="AP27" s="21">
        <f t="shared" ref="AP27:AP90" si="12">ROUND(Y27*AI27*$AP$21,0)</f>
        <v>1326503</v>
      </c>
      <c r="AQ27" s="21">
        <f>SUM(AL27+AO27+AP27)</f>
        <v>1409903</v>
      </c>
      <c r="AR27" s="48">
        <v>2331185</v>
      </c>
      <c r="AS27" s="48">
        <f>IF(C27=1, MAX(AR27, AQ27, AT27), AQ27)</f>
        <v>1409903</v>
      </c>
      <c r="AT27" s="71">
        <v>2004782</v>
      </c>
      <c r="AU27" s="21">
        <f>ABS(AQ27-AT27)</f>
        <v>594879</v>
      </c>
      <c r="AV27" s="52" t="str">
        <f>IF(AQ27&gt;AT27,"Yes","No")</f>
        <v>No</v>
      </c>
      <c r="AW27" s="48">
        <f>IF(AV27="Yes",+AU27*$L$9,+AU27*$L$10)</f>
        <v>0</v>
      </c>
      <c r="AX27" s="53">
        <f>IF(AV27="Yes",AT27+AW27,AT27- AW27)</f>
        <v>2004782</v>
      </c>
      <c r="AY27" s="54">
        <f>IF(C27=1,MAX(AX27,AR27,AT27),AX27)</f>
        <v>2004782</v>
      </c>
      <c r="AZ27" s="55"/>
      <c r="BA27" s="55"/>
      <c r="BB27" s="55"/>
      <c r="BC27" s="55"/>
      <c r="BD27" s="55"/>
    </row>
    <row r="28" spans="1:56" x14ac:dyDescent="0.5">
      <c r="A28" s="5" t="s">
        <v>73</v>
      </c>
      <c r="B28" s="56">
        <v>1</v>
      </c>
      <c r="C28" s="33">
        <v>1</v>
      </c>
      <c r="D28" s="33">
        <v>1</v>
      </c>
      <c r="E28" s="33"/>
      <c r="F28" s="2">
        <v>10</v>
      </c>
      <c r="G28">
        <v>11</v>
      </c>
      <c r="H28" s="5">
        <v>2</v>
      </c>
      <c r="I28" s="2" t="s">
        <v>74</v>
      </c>
      <c r="J28" s="45"/>
      <c r="K28">
        <v>2479.2800000000002</v>
      </c>
      <c r="L28"/>
      <c r="M28">
        <v>1581</v>
      </c>
      <c r="N28" s="46">
        <f t="shared" ref="N28:N91" si="13">ROUND(M28*0.3,2)</f>
        <v>474.3</v>
      </c>
      <c r="O28" s="46">
        <f t="shared" ref="O28:O91" si="14">ROUND(K28*0.6,2)</f>
        <v>1487.57</v>
      </c>
      <c r="P28" s="46">
        <f t="shared" ref="P28:P91" si="15">MAX(M28-O28,0)</f>
        <v>93.430000000000064</v>
      </c>
      <c r="Q28" s="46">
        <f t="shared" ref="Q28:Q91" si="16">ROUND(P28*0.15,2)</f>
        <v>14.01</v>
      </c>
      <c r="R28" s="47">
        <f t="shared" ref="R28:R91" si="17">ROUND(M28/K28,2)</f>
        <v>0.64</v>
      </c>
      <c r="S28" s="47">
        <f t="shared" si="5"/>
        <v>4.0000000000000036E-2</v>
      </c>
      <c r="T28" s="46">
        <f t="shared" si="6"/>
        <v>99.17</v>
      </c>
      <c r="U28" s="46">
        <f t="shared" ref="U28:U91" si="18">ROUND(T28*0.15,2)</f>
        <v>14.88</v>
      </c>
      <c r="V28">
        <v>207</v>
      </c>
      <c r="W28" s="46">
        <f t="shared" ref="W28:W91" si="19">ROUND(V28*0.25,2)</f>
        <v>51.75</v>
      </c>
      <c r="X28" s="22">
        <f t="shared" ref="X28:X91" si="20">ROUND(M28*$X$2,2)</f>
        <v>474.3</v>
      </c>
      <c r="Y28" s="10">
        <f t="shared" ref="Y28:Y91" si="21">+K28+N28+Q28+W28</f>
        <v>3019.3400000000006</v>
      </c>
      <c r="Z28" s="72">
        <v>2312564430.6700001</v>
      </c>
      <c r="AA28" s="71">
        <v>18951</v>
      </c>
      <c r="AB28" s="22">
        <f t="shared" si="7"/>
        <v>122028.62</v>
      </c>
      <c r="AC28" s="9">
        <f t="shared" si="8"/>
        <v>0.44290200000000002</v>
      </c>
      <c r="AD28" s="71">
        <v>80585</v>
      </c>
      <c r="AE28" s="9">
        <f t="shared" si="9"/>
        <v>0.554419</v>
      </c>
      <c r="AF28" s="9">
        <f>ROUND(1-((AC28*$L$4)+(AE28*$L$5)),6)</f>
        <v>0.52364299999999997</v>
      </c>
      <c r="AG28" s="49">
        <f t="shared" si="10"/>
        <v>0.52364299999999997</v>
      </c>
      <c r="AH28" s="50">
        <f t="shared" si="11"/>
        <v>0.04</v>
      </c>
      <c r="AI28" s="51">
        <f t="shared" ref="AI28:AI91" si="22">+AH28+AG28</f>
        <v>0.56364300000000001</v>
      </c>
      <c r="AJ28">
        <v>0</v>
      </c>
      <c r="AK28">
        <v>0</v>
      </c>
      <c r="AL28" s="21">
        <f t="shared" ref="AL28:AL91" si="23">ROUND(AJ28*AK28*100,0)</f>
        <v>0</v>
      </c>
      <c r="AM28">
        <v>0</v>
      </c>
      <c r="AN28">
        <v>0</v>
      </c>
      <c r="AO28" s="21">
        <f t="shared" ref="AO28:AO91" si="24">ROUND(AM28*AN28*100,0)</f>
        <v>0</v>
      </c>
      <c r="AP28" s="21">
        <f t="shared" si="12"/>
        <v>19613589</v>
      </c>
      <c r="AQ28" s="21">
        <f t="shared" ref="AQ28:AQ91" si="25">SUM(AL28+AO28+AP28)</f>
        <v>19613589</v>
      </c>
      <c r="AR28" s="48">
        <v>16473543</v>
      </c>
      <c r="AS28" s="48">
        <f>IF(C28=1, MAX(AR28, AQ28, AT28), AQ28)</f>
        <v>21332353</v>
      </c>
      <c r="AT28" s="71">
        <v>21332353</v>
      </c>
      <c r="AU28" s="21">
        <f>ABS(AQ28-AT28)</f>
        <v>1718764</v>
      </c>
      <c r="AV28" s="52" t="str">
        <f>IF(AQ28&gt;AT28,"Yes","No")</f>
        <v>No</v>
      </c>
      <c r="AW28" s="48">
        <f t="shared" ref="AW28:AW91" si="26">IF(AV28="Yes",+AU28*$L$9,+AU28*$L$10)</f>
        <v>0</v>
      </c>
      <c r="AX28" s="53">
        <f t="shared" ref="AX28:AX91" si="27">IF(AV28="Yes",AT28+AW28,AT28- AW28)</f>
        <v>21332353</v>
      </c>
      <c r="AY28" s="54">
        <f>IF(C28=1,MAX(AX28,AR28,AT28),AX28)</f>
        <v>21332353</v>
      </c>
      <c r="AZ28" s="55"/>
      <c r="BA28" s="55"/>
      <c r="BB28" s="55"/>
      <c r="BC28" s="55"/>
      <c r="BD28" s="55"/>
    </row>
    <row r="29" spans="1:56" x14ac:dyDescent="0.5">
      <c r="A29" s="5" t="s">
        <v>75</v>
      </c>
      <c r="B29" s="5"/>
      <c r="C29" s="33"/>
      <c r="D29" s="33"/>
      <c r="E29" s="33"/>
      <c r="F29" s="2">
        <v>8</v>
      </c>
      <c r="G29">
        <v>29</v>
      </c>
      <c r="H29" s="5">
        <v>3</v>
      </c>
      <c r="I29" s="2" t="s">
        <v>76</v>
      </c>
      <c r="J29" s="45"/>
      <c r="K29">
        <v>498.74</v>
      </c>
      <c r="L29"/>
      <c r="M29">
        <v>192</v>
      </c>
      <c r="N29" s="46">
        <f t="shared" si="13"/>
        <v>57.6</v>
      </c>
      <c r="O29" s="46">
        <f t="shared" si="14"/>
        <v>299.24</v>
      </c>
      <c r="P29" s="46">
        <f t="shared" si="15"/>
        <v>0</v>
      </c>
      <c r="Q29" s="46">
        <f t="shared" si="16"/>
        <v>0</v>
      </c>
      <c r="R29" s="47">
        <f t="shared" si="17"/>
        <v>0.38</v>
      </c>
      <c r="S29" s="47">
        <f t="shared" si="5"/>
        <v>0</v>
      </c>
      <c r="T29" s="46">
        <f t="shared" si="6"/>
        <v>0</v>
      </c>
      <c r="U29" s="46">
        <f t="shared" si="18"/>
        <v>0</v>
      </c>
      <c r="V29">
        <v>5</v>
      </c>
      <c r="W29" s="46">
        <f t="shared" si="19"/>
        <v>1.25</v>
      </c>
      <c r="X29" s="22">
        <f t="shared" si="20"/>
        <v>57.6</v>
      </c>
      <c r="Y29" s="10">
        <f t="shared" si="21"/>
        <v>557.59</v>
      </c>
      <c r="Z29" s="72">
        <v>645837541.33000004</v>
      </c>
      <c r="AA29" s="71">
        <v>4220</v>
      </c>
      <c r="AB29" s="22">
        <f t="shared" si="7"/>
        <v>153042.07</v>
      </c>
      <c r="AC29" s="9">
        <f t="shared" si="8"/>
        <v>0.55546499999999999</v>
      </c>
      <c r="AD29" s="71">
        <v>129219</v>
      </c>
      <c r="AE29" s="9">
        <f t="shared" si="9"/>
        <v>0.88901699999999995</v>
      </c>
      <c r="AF29" s="9">
        <f t="shared" ref="AF29:AF92" si="28">ROUND(1-((AC29*$L$4)+(AE29*$L$5)),6)</f>
        <v>0.34446900000000003</v>
      </c>
      <c r="AG29" s="49">
        <f t="shared" si="10"/>
        <v>0.34446900000000003</v>
      </c>
      <c r="AH29" s="50">
        <f t="shared" si="11"/>
        <v>0</v>
      </c>
      <c r="AI29" s="51">
        <f t="shared" si="22"/>
        <v>0.34446900000000003</v>
      </c>
      <c r="AJ29">
        <v>141</v>
      </c>
      <c r="AK29">
        <v>4</v>
      </c>
      <c r="AL29" s="21">
        <f t="shared" si="23"/>
        <v>56400</v>
      </c>
      <c r="AM29">
        <v>0</v>
      </c>
      <c r="AN29">
        <v>0</v>
      </c>
      <c r="AO29" s="21">
        <f t="shared" si="24"/>
        <v>0</v>
      </c>
      <c r="AP29" s="21">
        <f t="shared" si="12"/>
        <v>2213635</v>
      </c>
      <c r="AQ29" s="21">
        <f t="shared" si="25"/>
        <v>2270035</v>
      </c>
      <c r="AR29" s="48">
        <v>3859564</v>
      </c>
      <c r="AS29" s="48">
        <f t="shared" ref="AS29:AS92" si="29">IF(C29=1, MAX(AR29, AQ29, AT29), AQ29)</f>
        <v>2270035</v>
      </c>
      <c r="AT29" s="71">
        <v>3459062</v>
      </c>
      <c r="AU29" s="21">
        <f t="shared" ref="AU29:AU92" si="30">ABS(AQ29-AT29)</f>
        <v>1189027</v>
      </c>
      <c r="AV29" s="52" t="str">
        <f>IF(AQ29&gt;AT29,"Yes","No")</f>
        <v>No</v>
      </c>
      <c r="AW29" s="48">
        <f t="shared" si="26"/>
        <v>0</v>
      </c>
      <c r="AX29" s="53">
        <f t="shared" si="27"/>
        <v>3459062</v>
      </c>
      <c r="AY29" s="54">
        <f t="shared" ref="AY29:AY92" si="31">IF(C29=1,MAX(AX29,AR29,AT29),AX29)</f>
        <v>3459062</v>
      </c>
      <c r="AZ29" s="55"/>
      <c r="BA29" s="55"/>
      <c r="BB29" s="55"/>
      <c r="BC29" s="55"/>
      <c r="BD29" s="55"/>
    </row>
    <row r="30" spans="1:56" x14ac:dyDescent="0.5">
      <c r="A30" s="5" t="s">
        <v>77</v>
      </c>
      <c r="B30" s="5"/>
      <c r="C30" s="33"/>
      <c r="D30" s="33"/>
      <c r="E30" s="33"/>
      <c r="F30" s="2">
        <v>2</v>
      </c>
      <c r="G30">
        <v>0</v>
      </c>
      <c r="H30" s="5">
        <v>4</v>
      </c>
      <c r="I30" s="2" t="s">
        <v>78</v>
      </c>
      <c r="J30" s="45"/>
      <c r="K30">
        <v>2963.16</v>
      </c>
      <c r="L30"/>
      <c r="M30">
        <v>305</v>
      </c>
      <c r="N30" s="46">
        <f t="shared" si="13"/>
        <v>91.5</v>
      </c>
      <c r="O30" s="46">
        <f t="shared" si="14"/>
        <v>1777.9</v>
      </c>
      <c r="P30" s="46">
        <f t="shared" si="15"/>
        <v>0</v>
      </c>
      <c r="Q30" s="46">
        <f t="shared" si="16"/>
        <v>0</v>
      </c>
      <c r="R30" s="47">
        <f t="shared" si="17"/>
        <v>0.1</v>
      </c>
      <c r="S30" s="47">
        <f t="shared" si="5"/>
        <v>0</v>
      </c>
      <c r="T30" s="46">
        <f t="shared" si="6"/>
        <v>0</v>
      </c>
      <c r="U30" s="46">
        <f t="shared" si="18"/>
        <v>0</v>
      </c>
      <c r="V30">
        <v>82</v>
      </c>
      <c r="W30" s="46">
        <f t="shared" si="19"/>
        <v>20.5</v>
      </c>
      <c r="X30" s="22">
        <f t="shared" si="20"/>
        <v>91.5</v>
      </c>
      <c r="Y30" s="10">
        <f t="shared" si="21"/>
        <v>3075.16</v>
      </c>
      <c r="Z30" s="72">
        <v>4833502821.3299999</v>
      </c>
      <c r="AA30" s="71">
        <v>18856</v>
      </c>
      <c r="AB30" s="22">
        <f t="shared" si="7"/>
        <v>256337.65</v>
      </c>
      <c r="AC30" s="9">
        <f t="shared" si="8"/>
        <v>0.93037499999999995</v>
      </c>
      <c r="AD30" s="71">
        <v>151481</v>
      </c>
      <c r="AE30" s="9">
        <f t="shared" si="9"/>
        <v>1.042178</v>
      </c>
      <c r="AF30" s="9">
        <f t="shared" si="28"/>
        <v>3.6083999999999998E-2</v>
      </c>
      <c r="AG30" s="49">
        <f t="shared" si="10"/>
        <v>3.6083999999999998E-2</v>
      </c>
      <c r="AH30" s="50">
        <f t="shared" si="11"/>
        <v>0</v>
      </c>
      <c r="AI30" s="51">
        <f t="shared" si="22"/>
        <v>3.6083999999999998E-2</v>
      </c>
      <c r="AJ30">
        <v>0</v>
      </c>
      <c r="AK30">
        <v>0</v>
      </c>
      <c r="AL30" s="21">
        <f t="shared" si="23"/>
        <v>0</v>
      </c>
      <c r="AM30">
        <v>0</v>
      </c>
      <c r="AN30">
        <v>0</v>
      </c>
      <c r="AO30" s="21">
        <f t="shared" si="24"/>
        <v>0</v>
      </c>
      <c r="AP30" s="21">
        <f t="shared" si="12"/>
        <v>1278861</v>
      </c>
      <c r="AQ30" s="21">
        <f t="shared" si="25"/>
        <v>1278861</v>
      </c>
      <c r="AR30" s="48">
        <v>731456</v>
      </c>
      <c r="AS30" s="48">
        <f t="shared" si="29"/>
        <v>1278861</v>
      </c>
      <c r="AT30" s="71">
        <v>909358</v>
      </c>
      <c r="AU30" s="21">
        <f t="shared" si="30"/>
        <v>369503</v>
      </c>
      <c r="AV30" s="52" t="str">
        <f t="shared" ref="AV30:AV93" si="32">IF(AQ30&gt;AT30,"Yes","No")</f>
        <v>Yes</v>
      </c>
      <c r="AW30" s="48">
        <f t="shared" si="26"/>
        <v>369503</v>
      </c>
      <c r="AX30" s="53">
        <f t="shared" si="27"/>
        <v>1278861</v>
      </c>
      <c r="AY30" s="54">
        <f t="shared" si="31"/>
        <v>1278861</v>
      </c>
      <c r="AZ30" s="55"/>
      <c r="BA30" s="55"/>
      <c r="BB30" s="55"/>
      <c r="BC30" s="55"/>
      <c r="BD30" s="55"/>
    </row>
    <row r="31" spans="1:56" x14ac:dyDescent="0.5">
      <c r="A31" s="5" t="s">
        <v>71</v>
      </c>
      <c r="B31" s="5"/>
      <c r="C31" s="33"/>
      <c r="D31" s="33"/>
      <c r="E31" s="33"/>
      <c r="F31" s="2">
        <v>5</v>
      </c>
      <c r="G31">
        <v>0</v>
      </c>
      <c r="H31" s="5">
        <v>5</v>
      </c>
      <c r="I31" s="2" t="s">
        <v>79</v>
      </c>
      <c r="J31" s="45"/>
      <c r="K31">
        <v>410.86</v>
      </c>
      <c r="L31"/>
      <c r="M31">
        <v>99</v>
      </c>
      <c r="N31" s="46">
        <f t="shared" si="13"/>
        <v>29.7</v>
      </c>
      <c r="O31" s="46">
        <f t="shared" si="14"/>
        <v>246.52</v>
      </c>
      <c r="P31" s="46">
        <f t="shared" si="15"/>
        <v>0</v>
      </c>
      <c r="Q31" s="46">
        <f t="shared" si="16"/>
        <v>0</v>
      </c>
      <c r="R31" s="47">
        <f t="shared" si="17"/>
        <v>0.24</v>
      </c>
      <c r="S31" s="47">
        <f t="shared" si="5"/>
        <v>0</v>
      </c>
      <c r="T31" s="46">
        <f t="shared" si="6"/>
        <v>0</v>
      </c>
      <c r="U31" s="46">
        <f t="shared" si="18"/>
        <v>0</v>
      </c>
      <c r="V31">
        <v>6</v>
      </c>
      <c r="W31" s="46">
        <f t="shared" si="19"/>
        <v>1.5</v>
      </c>
      <c r="X31" s="22">
        <f t="shared" si="20"/>
        <v>29.7</v>
      </c>
      <c r="Y31" s="10">
        <f t="shared" si="21"/>
        <v>442.06</v>
      </c>
      <c r="Z31" s="72">
        <v>732281746.66999996</v>
      </c>
      <c r="AA31" s="71">
        <v>3652</v>
      </c>
      <c r="AB31" s="22">
        <f t="shared" si="7"/>
        <v>200515.26</v>
      </c>
      <c r="AC31" s="9">
        <f t="shared" si="8"/>
        <v>0.72776799999999997</v>
      </c>
      <c r="AD31" s="71">
        <v>119255</v>
      </c>
      <c r="AE31" s="9">
        <f t="shared" si="9"/>
        <v>0.820465</v>
      </c>
      <c r="AF31" s="9">
        <f t="shared" si="28"/>
        <v>0.244423</v>
      </c>
      <c r="AG31" s="49">
        <f t="shared" si="10"/>
        <v>0.244423</v>
      </c>
      <c r="AH31" s="50">
        <f t="shared" si="11"/>
        <v>0</v>
      </c>
      <c r="AI31" s="51">
        <f t="shared" si="22"/>
        <v>0.244423</v>
      </c>
      <c r="AJ31">
        <v>182</v>
      </c>
      <c r="AK31">
        <v>6</v>
      </c>
      <c r="AL31" s="21">
        <f t="shared" si="23"/>
        <v>109200</v>
      </c>
      <c r="AM31">
        <v>0</v>
      </c>
      <c r="AN31">
        <v>0</v>
      </c>
      <c r="AO31" s="21">
        <f t="shared" si="24"/>
        <v>0</v>
      </c>
      <c r="AP31" s="21">
        <f t="shared" si="12"/>
        <v>1245272</v>
      </c>
      <c r="AQ31" s="21">
        <f t="shared" si="25"/>
        <v>1354472</v>
      </c>
      <c r="AR31" s="48">
        <v>1633686</v>
      </c>
      <c r="AS31" s="48">
        <f t="shared" si="29"/>
        <v>1354472</v>
      </c>
      <c r="AT31" s="71">
        <v>1494242</v>
      </c>
      <c r="AU31" s="21">
        <f t="shared" si="30"/>
        <v>139770</v>
      </c>
      <c r="AV31" s="52" t="str">
        <f t="shared" si="32"/>
        <v>No</v>
      </c>
      <c r="AW31" s="48">
        <f t="shared" si="26"/>
        <v>0</v>
      </c>
      <c r="AX31" s="53">
        <f t="shared" si="27"/>
        <v>1494242</v>
      </c>
      <c r="AY31" s="54">
        <f t="shared" si="31"/>
        <v>1494242</v>
      </c>
      <c r="AZ31" s="55"/>
      <c r="BA31" s="55"/>
      <c r="BB31" s="55"/>
      <c r="BC31" s="55"/>
      <c r="BD31" s="55"/>
    </row>
    <row r="32" spans="1:56" x14ac:dyDescent="0.5">
      <c r="A32" s="5" t="s">
        <v>75</v>
      </c>
      <c r="B32" s="5"/>
      <c r="C32" s="33"/>
      <c r="D32" s="33"/>
      <c r="E32" s="33"/>
      <c r="F32" s="2">
        <v>7</v>
      </c>
      <c r="G32">
        <v>0</v>
      </c>
      <c r="H32" s="5">
        <v>6</v>
      </c>
      <c r="I32" s="2" t="s">
        <v>80</v>
      </c>
      <c r="J32" s="45"/>
      <c r="K32">
        <v>690.15</v>
      </c>
      <c r="L32"/>
      <c r="M32">
        <v>220</v>
      </c>
      <c r="N32" s="46">
        <f t="shared" si="13"/>
        <v>66</v>
      </c>
      <c r="O32" s="46">
        <f t="shared" si="14"/>
        <v>414.09</v>
      </c>
      <c r="P32" s="46">
        <f t="shared" si="15"/>
        <v>0</v>
      </c>
      <c r="Q32" s="46">
        <f t="shared" si="16"/>
        <v>0</v>
      </c>
      <c r="R32" s="47">
        <f t="shared" si="17"/>
        <v>0.32</v>
      </c>
      <c r="S32" s="47">
        <f t="shared" si="5"/>
        <v>0</v>
      </c>
      <c r="T32" s="46">
        <f t="shared" si="6"/>
        <v>0</v>
      </c>
      <c r="U32" s="46">
        <f t="shared" si="18"/>
        <v>0</v>
      </c>
      <c r="V32">
        <v>14</v>
      </c>
      <c r="W32" s="46">
        <f t="shared" si="19"/>
        <v>3.5</v>
      </c>
      <c r="X32" s="22">
        <f t="shared" si="20"/>
        <v>66</v>
      </c>
      <c r="Y32" s="10">
        <f t="shared" si="21"/>
        <v>759.65</v>
      </c>
      <c r="Z32" s="72">
        <v>1096176441.6700001</v>
      </c>
      <c r="AA32" s="71">
        <v>6089</v>
      </c>
      <c r="AB32" s="22">
        <f t="shared" si="7"/>
        <v>180025.69</v>
      </c>
      <c r="AC32" s="9">
        <f t="shared" si="8"/>
        <v>0.65340100000000001</v>
      </c>
      <c r="AD32" s="71">
        <v>95405</v>
      </c>
      <c r="AE32" s="9">
        <f t="shared" si="9"/>
        <v>0.65637900000000005</v>
      </c>
      <c r="AF32" s="9">
        <f t="shared" si="28"/>
        <v>0.34570600000000001</v>
      </c>
      <c r="AG32" s="49">
        <f t="shared" si="10"/>
        <v>0.34570600000000001</v>
      </c>
      <c r="AH32" s="50">
        <f t="shared" si="11"/>
        <v>0</v>
      </c>
      <c r="AI32" s="51">
        <f t="shared" si="22"/>
        <v>0.34570600000000001</v>
      </c>
      <c r="AJ32">
        <v>690</v>
      </c>
      <c r="AK32">
        <v>13</v>
      </c>
      <c r="AL32" s="21">
        <f t="shared" si="23"/>
        <v>897000</v>
      </c>
      <c r="AM32">
        <v>0</v>
      </c>
      <c r="AN32">
        <v>0</v>
      </c>
      <c r="AO32" s="21">
        <f t="shared" si="24"/>
        <v>0</v>
      </c>
      <c r="AP32" s="21">
        <f t="shared" si="12"/>
        <v>3026644</v>
      </c>
      <c r="AQ32" s="21">
        <f t="shared" si="25"/>
        <v>3923644</v>
      </c>
      <c r="AR32" s="48">
        <v>4067920</v>
      </c>
      <c r="AS32" s="48">
        <f t="shared" si="29"/>
        <v>3923644</v>
      </c>
      <c r="AT32" s="71">
        <v>4080374</v>
      </c>
      <c r="AU32" s="21">
        <f t="shared" si="30"/>
        <v>156730</v>
      </c>
      <c r="AV32" s="52" t="str">
        <f t="shared" si="32"/>
        <v>No</v>
      </c>
      <c r="AW32" s="48">
        <f t="shared" si="26"/>
        <v>0</v>
      </c>
      <c r="AX32" s="53">
        <f t="shared" si="27"/>
        <v>4080374</v>
      </c>
      <c r="AY32" s="54">
        <f t="shared" si="31"/>
        <v>4080374</v>
      </c>
      <c r="AZ32" s="55"/>
      <c r="BA32" s="55"/>
      <c r="BB32" s="55"/>
      <c r="BC32" s="55"/>
      <c r="BD32" s="55"/>
    </row>
    <row r="33" spans="1:56" x14ac:dyDescent="0.5">
      <c r="A33" s="5" t="s">
        <v>81</v>
      </c>
      <c r="B33" s="5"/>
      <c r="C33" s="33"/>
      <c r="D33" s="33"/>
      <c r="E33" s="33"/>
      <c r="F33" s="2">
        <v>4</v>
      </c>
      <c r="G33">
        <v>0</v>
      </c>
      <c r="H33" s="5">
        <v>7</v>
      </c>
      <c r="I33" s="2" t="s">
        <v>82</v>
      </c>
      <c r="J33" s="45"/>
      <c r="K33">
        <v>2577.35</v>
      </c>
      <c r="L33"/>
      <c r="M33">
        <v>651</v>
      </c>
      <c r="N33" s="46">
        <f t="shared" si="13"/>
        <v>195.3</v>
      </c>
      <c r="O33" s="46">
        <f t="shared" si="14"/>
        <v>1546.41</v>
      </c>
      <c r="P33" s="46">
        <f t="shared" si="15"/>
        <v>0</v>
      </c>
      <c r="Q33" s="46">
        <f t="shared" si="16"/>
        <v>0</v>
      </c>
      <c r="R33" s="47">
        <f t="shared" si="17"/>
        <v>0.25</v>
      </c>
      <c r="S33" s="47">
        <f t="shared" si="5"/>
        <v>0</v>
      </c>
      <c r="T33" s="46">
        <f t="shared" si="6"/>
        <v>0</v>
      </c>
      <c r="U33" s="46">
        <f t="shared" si="18"/>
        <v>0</v>
      </c>
      <c r="V33">
        <v>99</v>
      </c>
      <c r="W33" s="46">
        <f t="shared" si="19"/>
        <v>24.75</v>
      </c>
      <c r="X33" s="22">
        <f t="shared" si="20"/>
        <v>195.3</v>
      </c>
      <c r="Y33" s="10">
        <f t="shared" si="21"/>
        <v>2797.4</v>
      </c>
      <c r="Z33" s="72">
        <v>4438970897</v>
      </c>
      <c r="AA33" s="71">
        <v>20210</v>
      </c>
      <c r="AB33" s="22">
        <f t="shared" si="7"/>
        <v>219642.3</v>
      </c>
      <c r="AC33" s="9">
        <f t="shared" si="8"/>
        <v>0.79718900000000004</v>
      </c>
      <c r="AD33" s="71">
        <v>110657</v>
      </c>
      <c r="AE33" s="9">
        <f t="shared" si="9"/>
        <v>0.76131199999999999</v>
      </c>
      <c r="AF33" s="9">
        <f t="shared" si="28"/>
        <v>0.21357400000000001</v>
      </c>
      <c r="AG33" s="49">
        <f t="shared" si="10"/>
        <v>0.21357400000000001</v>
      </c>
      <c r="AH33" s="50">
        <f t="shared" si="11"/>
        <v>0</v>
      </c>
      <c r="AI33" s="51">
        <f t="shared" si="22"/>
        <v>0.21357400000000001</v>
      </c>
      <c r="AJ33">
        <v>0</v>
      </c>
      <c r="AK33">
        <v>0</v>
      </c>
      <c r="AL33" s="21">
        <f t="shared" si="23"/>
        <v>0</v>
      </c>
      <c r="AM33">
        <v>0</v>
      </c>
      <c r="AN33">
        <v>0</v>
      </c>
      <c r="AO33" s="21">
        <f t="shared" si="24"/>
        <v>0</v>
      </c>
      <c r="AP33" s="21">
        <f t="shared" si="12"/>
        <v>6885633</v>
      </c>
      <c r="AQ33" s="21">
        <f t="shared" si="25"/>
        <v>6885633</v>
      </c>
      <c r="AR33" s="48">
        <v>6215712</v>
      </c>
      <c r="AS33" s="48">
        <f t="shared" si="29"/>
        <v>6885633</v>
      </c>
      <c r="AT33" s="71">
        <v>7237662</v>
      </c>
      <c r="AU33" s="21">
        <f t="shared" si="30"/>
        <v>352029</v>
      </c>
      <c r="AV33" s="52" t="str">
        <f t="shared" si="32"/>
        <v>No</v>
      </c>
      <c r="AW33" s="48">
        <f t="shared" si="26"/>
        <v>0</v>
      </c>
      <c r="AX33" s="53">
        <f t="shared" si="27"/>
        <v>7237662</v>
      </c>
      <c r="AY33" s="54">
        <f t="shared" si="31"/>
        <v>7237662</v>
      </c>
      <c r="AZ33" s="55"/>
      <c r="BA33" s="55"/>
      <c r="BB33" s="55"/>
      <c r="BC33" s="55"/>
      <c r="BD33" s="55"/>
    </row>
    <row r="34" spans="1:56" x14ac:dyDescent="0.5">
      <c r="A34" s="5" t="s">
        <v>71</v>
      </c>
      <c r="B34" s="5"/>
      <c r="C34" s="33"/>
      <c r="D34" s="33"/>
      <c r="E34" s="33"/>
      <c r="F34" s="2">
        <v>3</v>
      </c>
      <c r="G34">
        <v>0</v>
      </c>
      <c r="H34" s="5">
        <v>8</v>
      </c>
      <c r="I34" s="2" t="s">
        <v>83</v>
      </c>
      <c r="J34" s="45"/>
      <c r="K34">
        <v>788.36</v>
      </c>
      <c r="L34"/>
      <c r="M34">
        <v>111</v>
      </c>
      <c r="N34" s="46">
        <f t="shared" si="13"/>
        <v>33.299999999999997</v>
      </c>
      <c r="O34" s="46">
        <f t="shared" si="14"/>
        <v>473.02</v>
      </c>
      <c r="P34" s="46">
        <f t="shared" si="15"/>
        <v>0</v>
      </c>
      <c r="Q34" s="46">
        <f t="shared" si="16"/>
        <v>0</v>
      </c>
      <c r="R34" s="47">
        <f t="shared" si="17"/>
        <v>0.14000000000000001</v>
      </c>
      <c r="S34" s="47">
        <f t="shared" si="5"/>
        <v>0</v>
      </c>
      <c r="T34" s="46">
        <f t="shared" si="6"/>
        <v>0</v>
      </c>
      <c r="U34" s="46">
        <f t="shared" si="18"/>
        <v>0</v>
      </c>
      <c r="V34">
        <v>21</v>
      </c>
      <c r="W34" s="46">
        <f t="shared" si="19"/>
        <v>5.25</v>
      </c>
      <c r="X34" s="22">
        <f t="shared" si="20"/>
        <v>33.299999999999997</v>
      </c>
      <c r="Y34" s="10">
        <f t="shared" si="21"/>
        <v>826.91</v>
      </c>
      <c r="Z34" s="72">
        <v>1195648759.6700001</v>
      </c>
      <c r="AA34" s="71">
        <v>5280</v>
      </c>
      <c r="AB34" s="22">
        <f t="shared" si="7"/>
        <v>226448.63</v>
      </c>
      <c r="AC34" s="9">
        <f t="shared" si="8"/>
        <v>0.82189299999999998</v>
      </c>
      <c r="AD34" s="71">
        <v>153879</v>
      </c>
      <c r="AE34" s="9">
        <f t="shared" si="9"/>
        <v>1.058676</v>
      </c>
      <c r="AF34" s="9">
        <f t="shared" si="28"/>
        <v>0.107072</v>
      </c>
      <c r="AG34" s="49">
        <f t="shared" si="10"/>
        <v>0.107072</v>
      </c>
      <c r="AH34" s="50">
        <f t="shared" si="11"/>
        <v>0</v>
      </c>
      <c r="AI34" s="51">
        <f t="shared" si="22"/>
        <v>0.107072</v>
      </c>
      <c r="AJ34">
        <v>349</v>
      </c>
      <c r="AK34">
        <v>6</v>
      </c>
      <c r="AL34" s="21">
        <f t="shared" si="23"/>
        <v>209400</v>
      </c>
      <c r="AM34">
        <v>0</v>
      </c>
      <c r="AN34">
        <v>0</v>
      </c>
      <c r="AO34" s="21">
        <f t="shared" si="24"/>
        <v>0</v>
      </c>
      <c r="AP34" s="21">
        <f t="shared" si="12"/>
        <v>1020411</v>
      </c>
      <c r="AQ34" s="21">
        <f t="shared" si="25"/>
        <v>1229811</v>
      </c>
      <c r="AR34" s="48">
        <v>2000209</v>
      </c>
      <c r="AS34" s="48">
        <f t="shared" si="29"/>
        <v>1229811</v>
      </c>
      <c r="AT34" s="71">
        <v>1764574</v>
      </c>
      <c r="AU34" s="21">
        <f t="shared" si="30"/>
        <v>534763</v>
      </c>
      <c r="AV34" s="52" t="str">
        <f t="shared" si="32"/>
        <v>No</v>
      </c>
      <c r="AW34" s="48">
        <f t="shared" si="26"/>
        <v>0</v>
      </c>
      <c r="AX34" s="53">
        <f t="shared" si="27"/>
        <v>1764574</v>
      </c>
      <c r="AY34" s="54">
        <f t="shared" si="31"/>
        <v>1764574</v>
      </c>
      <c r="AZ34" s="55"/>
      <c r="BA34" s="55"/>
      <c r="BB34" s="55"/>
      <c r="BC34" s="55"/>
      <c r="BD34" s="55"/>
    </row>
    <row r="35" spans="1:56" x14ac:dyDescent="0.5">
      <c r="A35" s="5" t="s">
        <v>81</v>
      </c>
      <c r="B35" s="5"/>
      <c r="C35" s="33"/>
      <c r="D35" s="33"/>
      <c r="E35" s="33"/>
      <c r="F35" s="2">
        <v>4</v>
      </c>
      <c r="G35">
        <v>0</v>
      </c>
      <c r="H35" s="5">
        <v>9</v>
      </c>
      <c r="I35" s="2" t="s">
        <v>84</v>
      </c>
      <c r="J35" s="45"/>
      <c r="K35">
        <v>3086.48</v>
      </c>
      <c r="L35"/>
      <c r="M35">
        <v>1146</v>
      </c>
      <c r="N35" s="46">
        <f t="shared" si="13"/>
        <v>343.8</v>
      </c>
      <c r="O35" s="46">
        <f t="shared" si="14"/>
        <v>1851.89</v>
      </c>
      <c r="P35" s="46">
        <f t="shared" si="15"/>
        <v>0</v>
      </c>
      <c r="Q35" s="46">
        <f t="shared" si="16"/>
        <v>0</v>
      </c>
      <c r="R35" s="47">
        <f t="shared" si="17"/>
        <v>0.37</v>
      </c>
      <c r="S35" s="47">
        <f t="shared" si="5"/>
        <v>0</v>
      </c>
      <c r="T35" s="46">
        <f t="shared" si="6"/>
        <v>0</v>
      </c>
      <c r="U35" s="46">
        <f t="shared" si="18"/>
        <v>0</v>
      </c>
      <c r="V35">
        <v>280</v>
      </c>
      <c r="W35" s="46">
        <f t="shared" si="19"/>
        <v>70</v>
      </c>
      <c r="X35" s="22">
        <f t="shared" si="20"/>
        <v>343.8</v>
      </c>
      <c r="Y35" s="10">
        <f t="shared" si="21"/>
        <v>3500.28</v>
      </c>
      <c r="Z35" s="72">
        <v>4350720129.3299999</v>
      </c>
      <c r="AA35" s="71">
        <v>20498</v>
      </c>
      <c r="AB35" s="22">
        <f t="shared" si="7"/>
        <v>212250.96</v>
      </c>
      <c r="AC35" s="9">
        <f t="shared" si="8"/>
        <v>0.77036300000000002</v>
      </c>
      <c r="AD35" s="71">
        <v>115135</v>
      </c>
      <c r="AE35" s="9">
        <f t="shared" si="9"/>
        <v>0.79212000000000005</v>
      </c>
      <c r="AF35" s="9">
        <f t="shared" si="28"/>
        <v>0.22311</v>
      </c>
      <c r="AG35" s="49">
        <f t="shared" si="10"/>
        <v>0.22311</v>
      </c>
      <c r="AH35" s="50">
        <f t="shared" si="11"/>
        <v>0</v>
      </c>
      <c r="AI35" s="51">
        <f t="shared" si="22"/>
        <v>0.22311</v>
      </c>
      <c r="AJ35">
        <v>0</v>
      </c>
      <c r="AK35">
        <v>0</v>
      </c>
      <c r="AL35" s="21">
        <f t="shared" si="23"/>
        <v>0</v>
      </c>
      <c r="AM35">
        <v>0</v>
      </c>
      <c r="AN35">
        <v>0</v>
      </c>
      <c r="AO35" s="21">
        <f t="shared" si="24"/>
        <v>0</v>
      </c>
      <c r="AP35" s="21">
        <f t="shared" si="12"/>
        <v>9000420</v>
      </c>
      <c r="AQ35" s="21">
        <f t="shared" si="25"/>
        <v>9000420</v>
      </c>
      <c r="AR35" s="48">
        <v>8087732</v>
      </c>
      <c r="AS35" s="48">
        <f t="shared" si="29"/>
        <v>9000420</v>
      </c>
      <c r="AT35" s="71">
        <v>10047664</v>
      </c>
      <c r="AU35" s="21">
        <f t="shared" si="30"/>
        <v>1047244</v>
      </c>
      <c r="AV35" s="52" t="str">
        <f t="shared" si="32"/>
        <v>No</v>
      </c>
      <c r="AW35" s="48">
        <f t="shared" si="26"/>
        <v>0</v>
      </c>
      <c r="AX35" s="53">
        <f t="shared" si="27"/>
        <v>10047664</v>
      </c>
      <c r="AY35" s="54">
        <f t="shared" si="31"/>
        <v>10047664</v>
      </c>
      <c r="AZ35" s="55"/>
      <c r="BA35" s="55"/>
      <c r="BB35" s="55"/>
      <c r="BC35" s="55"/>
      <c r="BD35" s="55"/>
    </row>
    <row r="36" spans="1:56" x14ac:dyDescent="0.5">
      <c r="A36" s="5" t="s">
        <v>71</v>
      </c>
      <c r="B36" s="5"/>
      <c r="C36" s="33"/>
      <c r="D36" s="33"/>
      <c r="E36" s="33"/>
      <c r="F36" s="2">
        <v>5</v>
      </c>
      <c r="G36">
        <v>0</v>
      </c>
      <c r="H36" s="5">
        <v>10</v>
      </c>
      <c r="I36" s="2" t="s">
        <v>85</v>
      </c>
      <c r="J36" s="45"/>
      <c r="K36">
        <v>340.43</v>
      </c>
      <c r="L36"/>
      <c r="M36">
        <v>86</v>
      </c>
      <c r="N36" s="46">
        <f t="shared" si="13"/>
        <v>25.8</v>
      </c>
      <c r="O36" s="46">
        <f t="shared" si="14"/>
        <v>204.26</v>
      </c>
      <c r="P36" s="46">
        <f t="shared" si="15"/>
        <v>0</v>
      </c>
      <c r="Q36" s="46">
        <f t="shared" si="16"/>
        <v>0</v>
      </c>
      <c r="R36" s="47">
        <f t="shared" si="17"/>
        <v>0.25</v>
      </c>
      <c r="S36" s="47">
        <f t="shared" si="5"/>
        <v>0</v>
      </c>
      <c r="T36" s="46">
        <f t="shared" si="6"/>
        <v>0</v>
      </c>
      <c r="U36" s="46">
        <f t="shared" si="18"/>
        <v>0</v>
      </c>
      <c r="V36">
        <v>1</v>
      </c>
      <c r="W36" s="46">
        <f t="shared" si="19"/>
        <v>0.25</v>
      </c>
      <c r="X36" s="22">
        <f t="shared" si="20"/>
        <v>25.8</v>
      </c>
      <c r="Y36" s="10">
        <f t="shared" si="21"/>
        <v>366.48</v>
      </c>
      <c r="Z36" s="72">
        <v>796959851</v>
      </c>
      <c r="AA36" s="71">
        <v>3398</v>
      </c>
      <c r="AB36" s="22">
        <f t="shared" si="7"/>
        <v>234537.92</v>
      </c>
      <c r="AC36" s="9">
        <f t="shared" si="8"/>
        <v>0.85125300000000004</v>
      </c>
      <c r="AD36" s="71">
        <v>106731</v>
      </c>
      <c r="AE36" s="9">
        <f t="shared" si="9"/>
        <v>0.73430099999999998</v>
      </c>
      <c r="AF36" s="9">
        <f t="shared" si="28"/>
        <v>0.183833</v>
      </c>
      <c r="AG36" s="49">
        <f t="shared" si="10"/>
        <v>0.183833</v>
      </c>
      <c r="AH36" s="50">
        <f t="shared" si="11"/>
        <v>0</v>
      </c>
      <c r="AI36" s="51">
        <f t="shared" si="22"/>
        <v>0.183833</v>
      </c>
      <c r="AJ36">
        <v>341</v>
      </c>
      <c r="AK36">
        <v>13</v>
      </c>
      <c r="AL36" s="21">
        <f t="shared" si="23"/>
        <v>443300</v>
      </c>
      <c r="AM36">
        <v>0</v>
      </c>
      <c r="AN36">
        <v>0</v>
      </c>
      <c r="AO36" s="21">
        <f t="shared" si="24"/>
        <v>0</v>
      </c>
      <c r="AP36" s="21">
        <f t="shared" si="12"/>
        <v>776452</v>
      </c>
      <c r="AQ36" s="21">
        <f t="shared" si="25"/>
        <v>1219752</v>
      </c>
      <c r="AR36" s="48">
        <v>1278838</v>
      </c>
      <c r="AS36" s="48">
        <f t="shared" si="29"/>
        <v>1219752</v>
      </c>
      <c r="AT36" s="71">
        <v>1218610</v>
      </c>
      <c r="AU36" s="21">
        <f t="shared" si="30"/>
        <v>1142</v>
      </c>
      <c r="AV36" s="52" t="str">
        <f t="shared" si="32"/>
        <v>Yes</v>
      </c>
      <c r="AW36" s="48">
        <f t="shared" si="26"/>
        <v>1142</v>
      </c>
      <c r="AX36" s="53">
        <f t="shared" si="27"/>
        <v>1219752</v>
      </c>
      <c r="AY36" s="54">
        <f t="shared" si="31"/>
        <v>1219752</v>
      </c>
      <c r="AZ36" s="55"/>
      <c r="BA36" s="55"/>
      <c r="BB36" s="55"/>
      <c r="BC36" s="55"/>
      <c r="BD36" s="55"/>
    </row>
    <row r="37" spans="1:56" x14ac:dyDescent="0.5">
      <c r="A37" s="5" t="s">
        <v>86</v>
      </c>
      <c r="B37" s="5"/>
      <c r="C37" s="33">
        <v>1</v>
      </c>
      <c r="D37" s="33">
        <v>1</v>
      </c>
      <c r="E37" s="33"/>
      <c r="F37" s="2">
        <v>6</v>
      </c>
      <c r="G37">
        <v>30</v>
      </c>
      <c r="H37" s="5">
        <v>11</v>
      </c>
      <c r="I37" s="2" t="s">
        <v>87</v>
      </c>
      <c r="J37" s="45"/>
      <c r="K37">
        <v>2215.89</v>
      </c>
      <c r="L37"/>
      <c r="M37">
        <v>1107</v>
      </c>
      <c r="N37" s="46">
        <f t="shared" si="13"/>
        <v>332.1</v>
      </c>
      <c r="O37" s="46">
        <f t="shared" si="14"/>
        <v>1329.53</v>
      </c>
      <c r="P37" s="46">
        <f t="shared" si="15"/>
        <v>0</v>
      </c>
      <c r="Q37" s="46">
        <f t="shared" si="16"/>
        <v>0</v>
      </c>
      <c r="R37" s="47">
        <f t="shared" si="17"/>
        <v>0.5</v>
      </c>
      <c r="S37" s="47">
        <f t="shared" si="5"/>
        <v>0</v>
      </c>
      <c r="T37" s="46">
        <f t="shared" si="6"/>
        <v>0</v>
      </c>
      <c r="U37" s="46">
        <f t="shared" si="18"/>
        <v>0</v>
      </c>
      <c r="V37">
        <v>96</v>
      </c>
      <c r="W37" s="46">
        <f t="shared" si="19"/>
        <v>24</v>
      </c>
      <c r="X37" s="22">
        <f t="shared" si="20"/>
        <v>332.1</v>
      </c>
      <c r="Y37" s="10">
        <f t="shared" si="21"/>
        <v>2571.9899999999998</v>
      </c>
      <c r="Z37" s="72">
        <v>4768215257.6700001</v>
      </c>
      <c r="AA37" s="71">
        <v>21547</v>
      </c>
      <c r="AB37" s="22">
        <f t="shared" si="7"/>
        <v>221293.7</v>
      </c>
      <c r="AC37" s="9">
        <f t="shared" si="8"/>
        <v>0.80318299999999998</v>
      </c>
      <c r="AD37" s="71">
        <v>97436</v>
      </c>
      <c r="AE37" s="9">
        <f t="shared" si="9"/>
        <v>0.67035199999999995</v>
      </c>
      <c r="AF37" s="9">
        <f t="shared" si="28"/>
        <v>0.23666599999999999</v>
      </c>
      <c r="AG37" s="49">
        <f t="shared" si="10"/>
        <v>0.23666599999999999</v>
      </c>
      <c r="AH37" s="50">
        <f t="shared" si="11"/>
        <v>0</v>
      </c>
      <c r="AI37" s="51">
        <f t="shared" si="22"/>
        <v>0.23666599999999999</v>
      </c>
      <c r="AJ37">
        <v>0</v>
      </c>
      <c r="AK37">
        <v>0</v>
      </c>
      <c r="AL37" s="21">
        <f t="shared" si="23"/>
        <v>0</v>
      </c>
      <c r="AM37">
        <v>0</v>
      </c>
      <c r="AN37">
        <v>0</v>
      </c>
      <c r="AO37" s="21">
        <f t="shared" si="24"/>
        <v>0</v>
      </c>
      <c r="AP37" s="21">
        <f t="shared" si="12"/>
        <v>7015297</v>
      </c>
      <c r="AQ37" s="21">
        <f t="shared" si="25"/>
        <v>7015297</v>
      </c>
      <c r="AR37" s="48">
        <v>6160837</v>
      </c>
      <c r="AS37" s="48">
        <f t="shared" si="29"/>
        <v>8047852</v>
      </c>
      <c r="AT37" s="71">
        <v>8047852</v>
      </c>
      <c r="AU37" s="21">
        <f>ABS(AQ37-AT37)</f>
        <v>1032555</v>
      </c>
      <c r="AV37" s="52" t="str">
        <f t="shared" si="32"/>
        <v>No</v>
      </c>
      <c r="AW37" s="48">
        <f t="shared" si="26"/>
        <v>0</v>
      </c>
      <c r="AX37" s="53">
        <f t="shared" si="27"/>
        <v>8047852</v>
      </c>
      <c r="AY37" s="54">
        <f t="shared" si="31"/>
        <v>8047852</v>
      </c>
      <c r="AZ37" s="55"/>
      <c r="BA37" s="55"/>
      <c r="BB37" s="55"/>
      <c r="BC37" s="55"/>
      <c r="BD37" s="55"/>
    </row>
    <row r="38" spans="1:56" x14ac:dyDescent="0.5">
      <c r="A38" s="5" t="s">
        <v>71</v>
      </c>
      <c r="B38" s="5"/>
      <c r="C38" s="33"/>
      <c r="D38" s="33"/>
      <c r="E38" s="33"/>
      <c r="F38" s="2">
        <v>5</v>
      </c>
      <c r="G38">
        <v>0</v>
      </c>
      <c r="H38" s="5">
        <v>12</v>
      </c>
      <c r="I38" s="2" t="s">
        <v>88</v>
      </c>
      <c r="J38" s="45"/>
      <c r="K38">
        <v>649.38</v>
      </c>
      <c r="L38"/>
      <c r="M38">
        <v>109</v>
      </c>
      <c r="N38" s="46">
        <f t="shared" si="13"/>
        <v>32.700000000000003</v>
      </c>
      <c r="O38" s="46">
        <f t="shared" si="14"/>
        <v>389.63</v>
      </c>
      <c r="P38" s="46">
        <f t="shared" si="15"/>
        <v>0</v>
      </c>
      <c r="Q38" s="46">
        <f t="shared" si="16"/>
        <v>0</v>
      </c>
      <c r="R38" s="47">
        <f t="shared" si="17"/>
        <v>0.17</v>
      </c>
      <c r="S38" s="47">
        <f t="shared" si="5"/>
        <v>0</v>
      </c>
      <c r="T38" s="46">
        <f t="shared" si="6"/>
        <v>0</v>
      </c>
      <c r="U38" s="46">
        <f t="shared" si="18"/>
        <v>0</v>
      </c>
      <c r="V38">
        <v>3</v>
      </c>
      <c r="W38" s="46">
        <f t="shared" si="19"/>
        <v>0.75</v>
      </c>
      <c r="X38" s="22">
        <f t="shared" si="20"/>
        <v>32.700000000000003</v>
      </c>
      <c r="Y38" s="10">
        <f t="shared" si="21"/>
        <v>682.83</v>
      </c>
      <c r="Z38" s="72">
        <v>850380909</v>
      </c>
      <c r="AA38" s="71">
        <v>4848</v>
      </c>
      <c r="AB38" s="22">
        <f t="shared" si="7"/>
        <v>175408.6</v>
      </c>
      <c r="AC38" s="9">
        <f t="shared" si="8"/>
        <v>0.63664399999999999</v>
      </c>
      <c r="AD38" s="71">
        <v>124861</v>
      </c>
      <c r="AE38" s="9">
        <f t="shared" si="9"/>
        <v>0.85903399999999996</v>
      </c>
      <c r="AF38" s="9">
        <f t="shared" si="28"/>
        <v>0.29663899999999999</v>
      </c>
      <c r="AG38" s="49">
        <f t="shared" si="10"/>
        <v>0.29663899999999999</v>
      </c>
      <c r="AH38" s="50">
        <f t="shared" si="11"/>
        <v>0</v>
      </c>
      <c r="AI38" s="51">
        <f t="shared" si="22"/>
        <v>0.29663899999999999</v>
      </c>
      <c r="AJ38">
        <v>0</v>
      </c>
      <c r="AK38">
        <v>0</v>
      </c>
      <c r="AL38" s="21">
        <f t="shared" si="23"/>
        <v>0</v>
      </c>
      <c r="AM38">
        <v>0</v>
      </c>
      <c r="AN38">
        <v>0</v>
      </c>
      <c r="AO38" s="21">
        <f t="shared" si="24"/>
        <v>0</v>
      </c>
      <c r="AP38" s="21">
        <f t="shared" si="12"/>
        <v>2334435</v>
      </c>
      <c r="AQ38" s="21">
        <f t="shared" si="25"/>
        <v>2334435</v>
      </c>
      <c r="AR38" s="48">
        <v>2983350</v>
      </c>
      <c r="AS38" s="48">
        <f t="shared" si="29"/>
        <v>2334435</v>
      </c>
      <c r="AT38" s="71">
        <v>2683216</v>
      </c>
      <c r="AU38" s="21">
        <f t="shared" si="30"/>
        <v>348781</v>
      </c>
      <c r="AV38" s="52" t="str">
        <f t="shared" si="32"/>
        <v>No</v>
      </c>
      <c r="AW38" s="48">
        <f t="shared" si="26"/>
        <v>0</v>
      </c>
      <c r="AX38" s="53">
        <f t="shared" si="27"/>
        <v>2683216</v>
      </c>
      <c r="AY38" s="54">
        <f t="shared" si="31"/>
        <v>2683216</v>
      </c>
      <c r="AZ38" s="55"/>
      <c r="BA38" s="55"/>
      <c r="BB38" s="55"/>
      <c r="BC38" s="55"/>
      <c r="BD38" s="55"/>
    </row>
    <row r="39" spans="1:56" x14ac:dyDescent="0.5">
      <c r="A39" s="5" t="s">
        <v>75</v>
      </c>
      <c r="B39" s="5"/>
      <c r="C39" s="33"/>
      <c r="D39" s="33"/>
      <c r="E39" s="33"/>
      <c r="F39" s="2">
        <v>7</v>
      </c>
      <c r="G39">
        <v>0</v>
      </c>
      <c r="H39" s="5">
        <v>13</v>
      </c>
      <c r="I39" s="2" t="s">
        <v>89</v>
      </c>
      <c r="J39" s="45"/>
      <c r="K39">
        <v>248.81</v>
      </c>
      <c r="L39"/>
      <c r="M39">
        <v>95</v>
      </c>
      <c r="N39" s="46">
        <f t="shared" si="13"/>
        <v>28.5</v>
      </c>
      <c r="O39" s="46">
        <f t="shared" si="14"/>
        <v>149.29</v>
      </c>
      <c r="P39" s="46">
        <f t="shared" si="15"/>
        <v>0</v>
      </c>
      <c r="Q39" s="46">
        <f t="shared" si="16"/>
        <v>0</v>
      </c>
      <c r="R39" s="47">
        <f t="shared" si="17"/>
        <v>0.38</v>
      </c>
      <c r="S39" s="47">
        <f t="shared" si="5"/>
        <v>0</v>
      </c>
      <c r="T39" s="46">
        <f t="shared" si="6"/>
        <v>0</v>
      </c>
      <c r="U39" s="46">
        <f t="shared" si="18"/>
        <v>0</v>
      </c>
      <c r="V39">
        <v>6</v>
      </c>
      <c r="W39" s="46">
        <f t="shared" si="19"/>
        <v>1.5</v>
      </c>
      <c r="X39" s="22">
        <f t="shared" si="20"/>
        <v>28.5</v>
      </c>
      <c r="Y39" s="10">
        <f t="shared" si="21"/>
        <v>278.81</v>
      </c>
      <c r="Z39" s="72">
        <v>538968153.33000004</v>
      </c>
      <c r="AA39" s="71">
        <v>2373</v>
      </c>
      <c r="AB39" s="22">
        <f t="shared" si="7"/>
        <v>227125.22</v>
      </c>
      <c r="AC39" s="9">
        <f t="shared" si="8"/>
        <v>0.824349</v>
      </c>
      <c r="AD39" s="71">
        <v>110250</v>
      </c>
      <c r="AE39" s="9">
        <f t="shared" si="9"/>
        <v>0.75851199999999996</v>
      </c>
      <c r="AF39" s="9">
        <f t="shared" si="28"/>
        <v>0.19540199999999999</v>
      </c>
      <c r="AG39" s="49">
        <f t="shared" si="10"/>
        <v>0.19540199999999999</v>
      </c>
      <c r="AH39" s="50">
        <f t="shared" si="11"/>
        <v>0</v>
      </c>
      <c r="AI39" s="51">
        <f t="shared" si="22"/>
        <v>0.19540199999999999</v>
      </c>
      <c r="AJ39">
        <v>0</v>
      </c>
      <c r="AK39">
        <v>0</v>
      </c>
      <c r="AL39" s="21">
        <f t="shared" si="23"/>
        <v>0</v>
      </c>
      <c r="AM39">
        <v>33</v>
      </c>
      <c r="AN39">
        <v>4</v>
      </c>
      <c r="AO39" s="21">
        <f t="shared" si="24"/>
        <v>13200</v>
      </c>
      <c r="AP39" s="21">
        <f t="shared" si="12"/>
        <v>627882</v>
      </c>
      <c r="AQ39" s="21">
        <f t="shared" si="25"/>
        <v>641082</v>
      </c>
      <c r="AR39" s="48">
        <v>1223830</v>
      </c>
      <c r="AS39" s="48">
        <f t="shared" si="29"/>
        <v>641082</v>
      </c>
      <c r="AT39" s="71">
        <v>1190095</v>
      </c>
      <c r="AU39" s="21">
        <f t="shared" si="30"/>
        <v>549013</v>
      </c>
      <c r="AV39" s="52" t="str">
        <f t="shared" si="32"/>
        <v>No</v>
      </c>
      <c r="AW39" s="48">
        <f t="shared" si="26"/>
        <v>0</v>
      </c>
      <c r="AX39" s="53">
        <f t="shared" si="27"/>
        <v>1190095</v>
      </c>
      <c r="AY39" s="54">
        <f t="shared" si="31"/>
        <v>1190095</v>
      </c>
      <c r="AZ39" s="55"/>
      <c r="BA39" s="55"/>
      <c r="BB39" s="55"/>
      <c r="BC39" s="55"/>
      <c r="BD39" s="55"/>
    </row>
    <row r="40" spans="1:56" x14ac:dyDescent="0.5">
      <c r="A40" s="5" t="s">
        <v>81</v>
      </c>
      <c r="B40" s="5"/>
      <c r="C40" s="33"/>
      <c r="D40" s="33"/>
      <c r="E40" s="33"/>
      <c r="F40" s="2">
        <v>4</v>
      </c>
      <c r="G40">
        <v>0</v>
      </c>
      <c r="H40" s="5">
        <v>14</v>
      </c>
      <c r="I40" s="2" t="s">
        <v>90</v>
      </c>
      <c r="J40" s="45"/>
      <c r="K40">
        <v>2494.31</v>
      </c>
      <c r="L40"/>
      <c r="M40">
        <v>886</v>
      </c>
      <c r="N40" s="46">
        <f t="shared" si="13"/>
        <v>265.8</v>
      </c>
      <c r="O40" s="46">
        <f t="shared" si="14"/>
        <v>1496.59</v>
      </c>
      <c r="P40" s="46">
        <f t="shared" si="15"/>
        <v>0</v>
      </c>
      <c r="Q40" s="46">
        <f t="shared" si="16"/>
        <v>0</v>
      </c>
      <c r="R40" s="47">
        <f t="shared" si="17"/>
        <v>0.36</v>
      </c>
      <c r="S40" s="47">
        <f t="shared" si="5"/>
        <v>0</v>
      </c>
      <c r="T40" s="46">
        <f t="shared" si="6"/>
        <v>0</v>
      </c>
      <c r="U40" s="46">
        <f t="shared" si="18"/>
        <v>0</v>
      </c>
      <c r="V40">
        <v>207</v>
      </c>
      <c r="W40" s="46">
        <f t="shared" si="19"/>
        <v>51.75</v>
      </c>
      <c r="X40" s="22">
        <f t="shared" si="20"/>
        <v>265.8</v>
      </c>
      <c r="Y40" s="10">
        <f t="shared" si="21"/>
        <v>2811.86</v>
      </c>
      <c r="Z40" s="72">
        <v>8147690499</v>
      </c>
      <c r="AA40" s="71">
        <v>28090</v>
      </c>
      <c r="AB40" s="22">
        <f t="shared" si="7"/>
        <v>290056.62</v>
      </c>
      <c r="AC40" s="9">
        <f t="shared" si="8"/>
        <v>1.0527569999999999</v>
      </c>
      <c r="AD40" s="71">
        <v>97223</v>
      </c>
      <c r="AE40" s="9">
        <f t="shared" si="9"/>
        <v>0.66888700000000001</v>
      </c>
      <c r="AF40" s="9">
        <f t="shared" si="28"/>
        <v>6.2404000000000001E-2</v>
      </c>
      <c r="AG40" s="49">
        <f t="shared" si="10"/>
        <v>6.2404000000000001E-2</v>
      </c>
      <c r="AH40" s="50">
        <f t="shared" si="11"/>
        <v>0</v>
      </c>
      <c r="AI40" s="51">
        <f t="shared" si="22"/>
        <v>6.2404000000000001E-2</v>
      </c>
      <c r="AJ40">
        <v>0</v>
      </c>
      <c r="AK40">
        <v>0</v>
      </c>
      <c r="AL40" s="21">
        <f t="shared" si="23"/>
        <v>0</v>
      </c>
      <c r="AM40">
        <v>0</v>
      </c>
      <c r="AN40">
        <v>0</v>
      </c>
      <c r="AO40" s="21">
        <f t="shared" si="24"/>
        <v>0</v>
      </c>
      <c r="AP40" s="21">
        <f t="shared" si="12"/>
        <v>2022307</v>
      </c>
      <c r="AQ40" s="21">
        <f t="shared" si="25"/>
        <v>2022307</v>
      </c>
      <c r="AR40" s="48">
        <v>2211848</v>
      </c>
      <c r="AS40" s="48">
        <f t="shared" si="29"/>
        <v>2022307</v>
      </c>
      <c r="AT40" s="71">
        <v>3772866</v>
      </c>
      <c r="AU40" s="21">
        <f t="shared" si="30"/>
        <v>1750559</v>
      </c>
      <c r="AV40" s="52" t="str">
        <f t="shared" si="32"/>
        <v>No</v>
      </c>
      <c r="AW40" s="48">
        <f t="shared" si="26"/>
        <v>0</v>
      </c>
      <c r="AX40" s="53">
        <f t="shared" si="27"/>
        <v>3772866</v>
      </c>
      <c r="AY40" s="54">
        <f t="shared" si="31"/>
        <v>3772866</v>
      </c>
      <c r="AZ40" s="55"/>
      <c r="BA40" s="55"/>
      <c r="BB40" s="55"/>
      <c r="BC40" s="55"/>
      <c r="BD40" s="55"/>
    </row>
    <row r="41" spans="1:56" x14ac:dyDescent="0.5">
      <c r="A41" s="5" t="s">
        <v>91</v>
      </c>
      <c r="B41" s="5">
        <v>1</v>
      </c>
      <c r="C41" s="33">
        <v>1</v>
      </c>
      <c r="D41" s="33">
        <v>0</v>
      </c>
      <c r="E41" s="33">
        <v>1</v>
      </c>
      <c r="F41" s="2">
        <v>10</v>
      </c>
      <c r="G41">
        <v>5</v>
      </c>
      <c r="H41" s="5">
        <v>15</v>
      </c>
      <c r="I41" s="2" t="s">
        <v>92</v>
      </c>
      <c r="J41" s="45"/>
      <c r="K41">
        <v>19026.689999999999</v>
      </c>
      <c r="L41"/>
      <c r="M41">
        <v>16943</v>
      </c>
      <c r="N41" s="46">
        <f t="shared" si="13"/>
        <v>5082.8999999999996</v>
      </c>
      <c r="O41" s="46">
        <f t="shared" si="14"/>
        <v>11416.01</v>
      </c>
      <c r="P41" s="46">
        <f t="shared" si="15"/>
        <v>5526.99</v>
      </c>
      <c r="Q41" s="46">
        <f t="shared" si="16"/>
        <v>829.05</v>
      </c>
      <c r="R41" s="47">
        <f t="shared" si="17"/>
        <v>0.89</v>
      </c>
      <c r="S41" s="47">
        <f t="shared" si="5"/>
        <v>0.29000000000000004</v>
      </c>
      <c r="T41" s="46">
        <f t="shared" si="6"/>
        <v>5517.74</v>
      </c>
      <c r="U41" s="46">
        <f t="shared" si="18"/>
        <v>827.66</v>
      </c>
      <c r="V41">
        <v>5957</v>
      </c>
      <c r="W41" s="46">
        <f t="shared" si="19"/>
        <v>1489.25</v>
      </c>
      <c r="X41" s="22">
        <f t="shared" si="20"/>
        <v>5082.8999999999996</v>
      </c>
      <c r="Y41" s="10">
        <f t="shared" si="21"/>
        <v>26427.889999999996</v>
      </c>
      <c r="Z41" s="72">
        <v>16576284644.33</v>
      </c>
      <c r="AA41" s="71">
        <v>148012</v>
      </c>
      <c r="AB41" s="22">
        <f t="shared" si="7"/>
        <v>111992.84</v>
      </c>
      <c r="AC41" s="9">
        <f t="shared" si="8"/>
        <v>0.40647699999999998</v>
      </c>
      <c r="AD41" s="71">
        <v>56584</v>
      </c>
      <c r="AE41" s="9">
        <f t="shared" si="9"/>
        <v>0.38929399999999997</v>
      </c>
      <c r="AF41" s="9">
        <f t="shared" si="28"/>
        <v>0.59867800000000004</v>
      </c>
      <c r="AG41" s="49">
        <f t="shared" si="10"/>
        <v>0.59867800000000004</v>
      </c>
      <c r="AH41" s="50">
        <f t="shared" si="11"/>
        <v>0.06</v>
      </c>
      <c r="AI41" s="51">
        <f t="shared" si="22"/>
        <v>0.6586780000000001</v>
      </c>
      <c r="AJ41">
        <v>0</v>
      </c>
      <c r="AK41">
        <v>0</v>
      </c>
      <c r="AL41" s="21">
        <f t="shared" si="23"/>
        <v>0</v>
      </c>
      <c r="AM41">
        <v>0</v>
      </c>
      <c r="AN41">
        <v>0</v>
      </c>
      <c r="AO41" s="21">
        <f t="shared" si="24"/>
        <v>0</v>
      </c>
      <c r="AP41" s="21">
        <f t="shared" si="12"/>
        <v>200621089</v>
      </c>
      <c r="AQ41" s="21">
        <f t="shared" si="25"/>
        <v>200621089</v>
      </c>
      <c r="AR41" s="48">
        <v>181105390</v>
      </c>
      <c r="AS41" s="48">
        <f t="shared" si="29"/>
        <v>212796357</v>
      </c>
      <c r="AT41" s="71">
        <v>212796357</v>
      </c>
      <c r="AU41" s="21">
        <f t="shared" si="30"/>
        <v>12175268</v>
      </c>
      <c r="AV41" s="52" t="str">
        <f t="shared" si="32"/>
        <v>No</v>
      </c>
      <c r="AW41" s="48">
        <f t="shared" si="26"/>
        <v>0</v>
      </c>
      <c r="AX41" s="53">
        <f t="shared" si="27"/>
        <v>212796357</v>
      </c>
      <c r="AY41" s="54">
        <f t="shared" si="31"/>
        <v>212796357</v>
      </c>
      <c r="AZ41" s="55"/>
      <c r="BA41" s="55"/>
      <c r="BB41" s="55"/>
      <c r="BC41" s="55"/>
      <c r="BD41" s="55"/>
    </row>
    <row r="42" spans="1:56" x14ac:dyDescent="0.5">
      <c r="A42" s="5" t="s">
        <v>71</v>
      </c>
      <c r="B42" s="5"/>
      <c r="C42" s="33"/>
      <c r="D42" s="33"/>
      <c r="E42" s="33"/>
      <c r="F42" s="2">
        <v>2</v>
      </c>
      <c r="G42">
        <v>0</v>
      </c>
      <c r="H42" s="5">
        <v>16</v>
      </c>
      <c r="I42" s="2" t="s">
        <v>93</v>
      </c>
      <c r="J42" s="45"/>
      <c r="K42">
        <v>157.11000000000001</v>
      </c>
      <c r="L42"/>
      <c r="M42">
        <v>32</v>
      </c>
      <c r="N42" s="46">
        <f t="shared" si="13"/>
        <v>9.6</v>
      </c>
      <c r="O42" s="46">
        <f t="shared" si="14"/>
        <v>94.27</v>
      </c>
      <c r="P42" s="46">
        <f t="shared" si="15"/>
        <v>0</v>
      </c>
      <c r="Q42" s="46">
        <f t="shared" si="16"/>
        <v>0</v>
      </c>
      <c r="R42" s="47">
        <f t="shared" si="17"/>
        <v>0.2</v>
      </c>
      <c r="S42" s="47">
        <f t="shared" si="5"/>
        <v>0</v>
      </c>
      <c r="T42" s="46">
        <f t="shared" si="6"/>
        <v>0</v>
      </c>
      <c r="U42" s="46">
        <f t="shared" si="18"/>
        <v>0</v>
      </c>
      <c r="V42">
        <v>1</v>
      </c>
      <c r="W42" s="46">
        <f t="shared" si="19"/>
        <v>0.25</v>
      </c>
      <c r="X42" s="22">
        <f t="shared" si="20"/>
        <v>9.6</v>
      </c>
      <c r="Y42" s="10">
        <f t="shared" si="21"/>
        <v>166.96</v>
      </c>
      <c r="Z42" s="72">
        <v>750144775</v>
      </c>
      <c r="AA42" s="71">
        <v>1670</v>
      </c>
      <c r="AB42" s="22">
        <f t="shared" si="7"/>
        <v>449188.49</v>
      </c>
      <c r="AC42" s="9">
        <f t="shared" si="8"/>
        <v>1.630325</v>
      </c>
      <c r="AD42" s="71">
        <v>156682</v>
      </c>
      <c r="AE42" s="9">
        <f t="shared" si="9"/>
        <v>1.07796</v>
      </c>
      <c r="AF42" s="9">
        <f t="shared" si="28"/>
        <v>-0.46461599999999997</v>
      </c>
      <c r="AG42" s="49">
        <f t="shared" si="10"/>
        <v>0.01</v>
      </c>
      <c r="AH42" s="50">
        <f t="shared" si="11"/>
        <v>0</v>
      </c>
      <c r="AI42" s="51">
        <f t="shared" si="22"/>
        <v>0.01</v>
      </c>
      <c r="AJ42">
        <v>155</v>
      </c>
      <c r="AK42">
        <v>13</v>
      </c>
      <c r="AL42" s="21">
        <f t="shared" si="23"/>
        <v>201500</v>
      </c>
      <c r="AM42">
        <v>0</v>
      </c>
      <c r="AN42">
        <v>0</v>
      </c>
      <c r="AO42" s="21">
        <f t="shared" si="24"/>
        <v>0</v>
      </c>
      <c r="AP42" s="21">
        <f t="shared" si="12"/>
        <v>19242</v>
      </c>
      <c r="AQ42" s="21">
        <f t="shared" si="25"/>
        <v>220742</v>
      </c>
      <c r="AR42" s="48">
        <v>23014</v>
      </c>
      <c r="AS42" s="48">
        <f t="shared" si="29"/>
        <v>220742</v>
      </c>
      <c r="AT42" s="71">
        <v>187715</v>
      </c>
      <c r="AU42" s="21">
        <f t="shared" si="30"/>
        <v>33027</v>
      </c>
      <c r="AV42" s="52" t="str">
        <f t="shared" si="32"/>
        <v>Yes</v>
      </c>
      <c r="AW42" s="48">
        <f t="shared" si="26"/>
        <v>33027</v>
      </c>
      <c r="AX42" s="53">
        <f t="shared" si="27"/>
        <v>220742</v>
      </c>
      <c r="AY42" s="54">
        <f t="shared" si="31"/>
        <v>220742</v>
      </c>
      <c r="AZ42" s="55"/>
      <c r="BA42" s="55"/>
      <c r="BB42" s="55"/>
      <c r="BC42" s="55"/>
      <c r="BD42" s="55"/>
    </row>
    <row r="43" spans="1:56" x14ac:dyDescent="0.5">
      <c r="A43" s="5" t="s">
        <v>86</v>
      </c>
      <c r="B43" s="5"/>
      <c r="C43" s="33">
        <v>1</v>
      </c>
      <c r="D43" s="33">
        <v>1</v>
      </c>
      <c r="E43" s="33"/>
      <c r="F43" s="2">
        <v>9</v>
      </c>
      <c r="G43">
        <v>19</v>
      </c>
      <c r="H43" s="5">
        <v>17</v>
      </c>
      <c r="I43" s="2" t="s">
        <v>94</v>
      </c>
      <c r="J43" s="45"/>
      <c r="K43">
        <v>7774.25</v>
      </c>
      <c r="L43"/>
      <c r="M43">
        <v>4037</v>
      </c>
      <c r="N43" s="46">
        <f t="shared" si="13"/>
        <v>1211.0999999999999</v>
      </c>
      <c r="O43" s="46">
        <f t="shared" si="14"/>
        <v>4664.55</v>
      </c>
      <c r="P43" s="46">
        <f t="shared" si="15"/>
        <v>0</v>
      </c>
      <c r="Q43" s="46">
        <f t="shared" si="16"/>
        <v>0</v>
      </c>
      <c r="R43" s="47">
        <f t="shared" si="17"/>
        <v>0.52</v>
      </c>
      <c r="S43" s="47">
        <f t="shared" si="5"/>
        <v>0</v>
      </c>
      <c r="T43" s="46">
        <f t="shared" si="6"/>
        <v>0</v>
      </c>
      <c r="U43" s="46">
        <f t="shared" si="18"/>
        <v>0</v>
      </c>
      <c r="V43">
        <v>562</v>
      </c>
      <c r="W43" s="46">
        <f t="shared" si="19"/>
        <v>140.5</v>
      </c>
      <c r="X43" s="22">
        <f t="shared" si="20"/>
        <v>1211.0999999999999</v>
      </c>
      <c r="Y43" s="10">
        <f t="shared" si="21"/>
        <v>9125.85</v>
      </c>
      <c r="Z43" s="72">
        <v>8624253302</v>
      </c>
      <c r="AA43" s="71">
        <v>61129</v>
      </c>
      <c r="AB43" s="22">
        <f t="shared" si="7"/>
        <v>141082.85</v>
      </c>
      <c r="AC43" s="9">
        <f t="shared" si="8"/>
        <v>0.51205900000000004</v>
      </c>
      <c r="AD43" s="71">
        <v>83458</v>
      </c>
      <c r="AE43" s="9">
        <f t="shared" si="9"/>
        <v>0.57418499999999995</v>
      </c>
      <c r="AF43" s="9">
        <f t="shared" si="28"/>
        <v>0.46930300000000003</v>
      </c>
      <c r="AG43" s="49">
        <f t="shared" si="10"/>
        <v>0.46930300000000003</v>
      </c>
      <c r="AH43" s="50">
        <f t="shared" si="11"/>
        <v>0.03</v>
      </c>
      <c r="AI43" s="51">
        <f t="shared" si="22"/>
        <v>0.49930300000000005</v>
      </c>
      <c r="AJ43">
        <v>0</v>
      </c>
      <c r="AK43">
        <v>0</v>
      </c>
      <c r="AL43" s="21">
        <f t="shared" si="23"/>
        <v>0</v>
      </c>
      <c r="AM43">
        <v>0</v>
      </c>
      <c r="AN43">
        <v>0</v>
      </c>
      <c r="AO43" s="21">
        <f t="shared" si="24"/>
        <v>0</v>
      </c>
      <c r="AP43" s="21">
        <f t="shared" si="12"/>
        <v>52514403</v>
      </c>
      <c r="AQ43" s="21">
        <f t="shared" si="25"/>
        <v>52514403</v>
      </c>
      <c r="AR43" s="48">
        <v>44853676</v>
      </c>
      <c r="AS43" s="48">
        <f t="shared" si="29"/>
        <v>55102941</v>
      </c>
      <c r="AT43" s="71">
        <v>55102941</v>
      </c>
      <c r="AU43" s="21">
        <f t="shared" si="30"/>
        <v>2588538</v>
      </c>
      <c r="AV43" s="52" t="str">
        <f t="shared" si="32"/>
        <v>No</v>
      </c>
      <c r="AW43" s="48">
        <f t="shared" si="26"/>
        <v>0</v>
      </c>
      <c r="AX43" s="53">
        <f t="shared" si="27"/>
        <v>55102941</v>
      </c>
      <c r="AY43" s="54">
        <f t="shared" si="31"/>
        <v>55102941</v>
      </c>
      <c r="AZ43" s="55"/>
      <c r="BA43" s="55"/>
      <c r="BB43" s="55"/>
      <c r="BC43" s="55"/>
      <c r="BD43" s="55"/>
    </row>
    <row r="44" spans="1:56" x14ac:dyDescent="0.5">
      <c r="A44" s="5" t="s">
        <v>77</v>
      </c>
      <c r="B44" s="5"/>
      <c r="C44" s="33"/>
      <c r="D44" s="33"/>
      <c r="E44" s="33"/>
      <c r="F44" s="2">
        <v>2</v>
      </c>
      <c r="G44">
        <v>0</v>
      </c>
      <c r="H44" s="5">
        <v>18</v>
      </c>
      <c r="I44" s="2" t="s">
        <v>95</v>
      </c>
      <c r="J44" s="45"/>
      <c r="K44">
        <v>2521.6999999999998</v>
      </c>
      <c r="L44"/>
      <c r="M44">
        <v>603</v>
      </c>
      <c r="N44" s="46">
        <f t="shared" si="13"/>
        <v>180.9</v>
      </c>
      <c r="O44" s="46">
        <f t="shared" si="14"/>
        <v>1513.02</v>
      </c>
      <c r="P44" s="46">
        <f t="shared" si="15"/>
        <v>0</v>
      </c>
      <c r="Q44" s="46">
        <f t="shared" si="16"/>
        <v>0</v>
      </c>
      <c r="R44" s="47">
        <f t="shared" si="17"/>
        <v>0.24</v>
      </c>
      <c r="S44" s="47">
        <f t="shared" si="5"/>
        <v>0</v>
      </c>
      <c r="T44" s="46">
        <f t="shared" si="6"/>
        <v>0</v>
      </c>
      <c r="U44" s="46">
        <f t="shared" si="18"/>
        <v>0</v>
      </c>
      <c r="V44">
        <v>131</v>
      </c>
      <c r="W44" s="46">
        <f t="shared" si="19"/>
        <v>32.75</v>
      </c>
      <c r="X44" s="22">
        <f t="shared" si="20"/>
        <v>180.9</v>
      </c>
      <c r="Y44" s="10">
        <f t="shared" si="21"/>
        <v>2735.35</v>
      </c>
      <c r="Z44" s="72">
        <v>4779646551</v>
      </c>
      <c r="AA44" s="71">
        <v>17490</v>
      </c>
      <c r="AB44" s="22">
        <f t="shared" si="7"/>
        <v>273278.82</v>
      </c>
      <c r="AC44" s="9">
        <f t="shared" si="8"/>
        <v>0.99186300000000005</v>
      </c>
      <c r="AD44" s="71">
        <v>142432</v>
      </c>
      <c r="AE44" s="9">
        <f t="shared" si="9"/>
        <v>0.97992100000000004</v>
      </c>
      <c r="AF44" s="9">
        <f t="shared" si="28"/>
        <v>1.172E-2</v>
      </c>
      <c r="AG44" s="49">
        <f t="shared" si="10"/>
        <v>1.172E-2</v>
      </c>
      <c r="AH44" s="50">
        <f t="shared" si="11"/>
        <v>0</v>
      </c>
      <c r="AI44" s="51">
        <f t="shared" si="22"/>
        <v>1.172E-2</v>
      </c>
      <c r="AJ44">
        <v>0</v>
      </c>
      <c r="AK44">
        <v>0</v>
      </c>
      <c r="AL44" s="21">
        <f t="shared" si="23"/>
        <v>0</v>
      </c>
      <c r="AM44">
        <v>0</v>
      </c>
      <c r="AN44">
        <v>0</v>
      </c>
      <c r="AO44" s="21">
        <f t="shared" si="24"/>
        <v>0</v>
      </c>
      <c r="AP44" s="21">
        <f t="shared" si="12"/>
        <v>369472</v>
      </c>
      <c r="AQ44" s="21">
        <f t="shared" si="25"/>
        <v>369472</v>
      </c>
      <c r="AR44" s="48">
        <v>1417583</v>
      </c>
      <c r="AS44" s="48">
        <f t="shared" si="29"/>
        <v>369472</v>
      </c>
      <c r="AT44" s="71">
        <v>1379178</v>
      </c>
      <c r="AU44" s="21">
        <f t="shared" si="30"/>
        <v>1009706</v>
      </c>
      <c r="AV44" s="52" t="str">
        <f t="shared" si="32"/>
        <v>No</v>
      </c>
      <c r="AW44" s="48">
        <f t="shared" si="26"/>
        <v>0</v>
      </c>
      <c r="AX44" s="53">
        <f t="shared" si="27"/>
        <v>1379178</v>
      </c>
      <c r="AY44" s="54">
        <f t="shared" si="31"/>
        <v>1379178</v>
      </c>
      <c r="AZ44" s="55"/>
      <c r="BA44" s="55"/>
      <c r="BB44" s="55"/>
      <c r="BC44" s="55"/>
      <c r="BD44" s="55"/>
    </row>
    <row r="45" spans="1:56" x14ac:dyDescent="0.5">
      <c r="A45" s="5" t="s">
        <v>75</v>
      </c>
      <c r="B45" s="5"/>
      <c r="C45" s="33"/>
      <c r="D45" s="33"/>
      <c r="E45" s="33"/>
      <c r="F45" s="2">
        <v>9</v>
      </c>
      <c r="G45">
        <v>0</v>
      </c>
      <c r="H45" s="5">
        <v>19</v>
      </c>
      <c r="I45" s="2" t="s">
        <v>96</v>
      </c>
      <c r="J45" s="45"/>
      <c r="K45">
        <v>1110.03</v>
      </c>
      <c r="L45"/>
      <c r="M45">
        <v>328</v>
      </c>
      <c r="N45" s="46">
        <f t="shared" si="13"/>
        <v>98.4</v>
      </c>
      <c r="O45" s="46">
        <f t="shared" si="14"/>
        <v>666.02</v>
      </c>
      <c r="P45" s="46">
        <f t="shared" si="15"/>
        <v>0</v>
      </c>
      <c r="Q45" s="46">
        <f t="shared" si="16"/>
        <v>0</v>
      </c>
      <c r="R45" s="47">
        <f t="shared" si="17"/>
        <v>0.3</v>
      </c>
      <c r="S45" s="47">
        <f t="shared" si="5"/>
        <v>0</v>
      </c>
      <c r="T45" s="46">
        <f t="shared" si="6"/>
        <v>0</v>
      </c>
      <c r="U45" s="46">
        <f t="shared" si="18"/>
        <v>0</v>
      </c>
      <c r="V45">
        <v>13</v>
      </c>
      <c r="W45" s="46">
        <f t="shared" si="19"/>
        <v>3.25</v>
      </c>
      <c r="X45" s="22">
        <f t="shared" si="20"/>
        <v>98.4</v>
      </c>
      <c r="Y45" s="10">
        <f t="shared" si="21"/>
        <v>1211.68</v>
      </c>
      <c r="Z45" s="72">
        <v>1355640242.6700001</v>
      </c>
      <c r="AA45" s="71">
        <v>8456</v>
      </c>
      <c r="AB45" s="22">
        <f t="shared" si="7"/>
        <v>160316.96</v>
      </c>
      <c r="AC45" s="9">
        <f t="shared" si="8"/>
        <v>0.58186899999999997</v>
      </c>
      <c r="AD45" s="71">
        <v>90575</v>
      </c>
      <c r="AE45" s="9">
        <f t="shared" si="9"/>
        <v>0.62314899999999995</v>
      </c>
      <c r="AF45" s="9">
        <f t="shared" si="28"/>
        <v>0.40574700000000002</v>
      </c>
      <c r="AG45" s="49">
        <f t="shared" si="10"/>
        <v>0.40574700000000002</v>
      </c>
      <c r="AH45" s="50">
        <f t="shared" si="11"/>
        <v>0</v>
      </c>
      <c r="AI45" s="51">
        <f t="shared" si="22"/>
        <v>0.40574700000000002</v>
      </c>
      <c r="AJ45">
        <v>0</v>
      </c>
      <c r="AK45">
        <v>0</v>
      </c>
      <c r="AL45" s="21">
        <f t="shared" si="23"/>
        <v>0</v>
      </c>
      <c r="AM45">
        <v>236</v>
      </c>
      <c r="AN45">
        <v>4</v>
      </c>
      <c r="AO45" s="21">
        <f t="shared" si="24"/>
        <v>94400</v>
      </c>
      <c r="AP45" s="21">
        <f t="shared" si="12"/>
        <v>5666099</v>
      </c>
      <c r="AQ45" s="21">
        <f t="shared" si="25"/>
        <v>5760499</v>
      </c>
      <c r="AR45" s="48">
        <v>6975373</v>
      </c>
      <c r="AS45" s="48">
        <f t="shared" si="29"/>
        <v>5760499</v>
      </c>
      <c r="AT45" s="71">
        <v>6969690</v>
      </c>
      <c r="AU45" s="21">
        <f t="shared" si="30"/>
        <v>1209191</v>
      </c>
      <c r="AV45" s="52" t="str">
        <f t="shared" si="32"/>
        <v>No</v>
      </c>
      <c r="AW45" s="48">
        <f t="shared" si="26"/>
        <v>0</v>
      </c>
      <c r="AX45" s="53">
        <f t="shared" si="27"/>
        <v>6969690</v>
      </c>
      <c r="AY45" s="54">
        <f t="shared" si="31"/>
        <v>6969690</v>
      </c>
      <c r="AZ45" s="55"/>
      <c r="BA45" s="55"/>
      <c r="BB45" s="55"/>
      <c r="BC45" s="55"/>
      <c r="BD45" s="55"/>
    </row>
    <row r="46" spans="1:56" x14ac:dyDescent="0.5">
      <c r="A46" s="5" t="s">
        <v>71</v>
      </c>
      <c r="B46" s="5"/>
      <c r="C46" s="33"/>
      <c r="D46" s="33"/>
      <c r="E46" s="33"/>
      <c r="F46" s="2">
        <v>3</v>
      </c>
      <c r="G46">
        <v>0</v>
      </c>
      <c r="H46" s="5">
        <v>20</v>
      </c>
      <c r="I46" s="2" t="s">
        <v>97</v>
      </c>
      <c r="J46" s="45"/>
      <c r="K46">
        <v>1415.87</v>
      </c>
      <c r="L46"/>
      <c r="M46">
        <v>182</v>
      </c>
      <c r="N46" s="46">
        <f t="shared" si="13"/>
        <v>54.6</v>
      </c>
      <c r="O46" s="46">
        <f t="shared" si="14"/>
        <v>849.52</v>
      </c>
      <c r="P46" s="46">
        <f t="shared" si="15"/>
        <v>0</v>
      </c>
      <c r="Q46" s="46">
        <f t="shared" si="16"/>
        <v>0</v>
      </c>
      <c r="R46" s="47">
        <f t="shared" si="17"/>
        <v>0.13</v>
      </c>
      <c r="S46" s="47">
        <f t="shared" si="5"/>
        <v>0</v>
      </c>
      <c r="T46" s="46">
        <f t="shared" si="6"/>
        <v>0</v>
      </c>
      <c r="U46" s="46">
        <f t="shared" si="18"/>
        <v>0</v>
      </c>
      <c r="V46">
        <v>23</v>
      </c>
      <c r="W46" s="46">
        <f t="shared" si="19"/>
        <v>5.75</v>
      </c>
      <c r="X46" s="22">
        <f t="shared" si="20"/>
        <v>54.6</v>
      </c>
      <c r="Y46" s="10">
        <f t="shared" si="21"/>
        <v>1476.2199999999998</v>
      </c>
      <c r="Z46" s="72">
        <v>1932535320.6700001</v>
      </c>
      <c r="AA46" s="71">
        <v>9613</v>
      </c>
      <c r="AB46" s="22">
        <f t="shared" si="7"/>
        <v>201033.53</v>
      </c>
      <c r="AC46" s="9">
        <f t="shared" si="8"/>
        <v>0.72964899999999999</v>
      </c>
      <c r="AD46" s="71">
        <v>158357</v>
      </c>
      <c r="AE46" s="9">
        <f t="shared" si="9"/>
        <v>1.0894839999999999</v>
      </c>
      <c r="AF46" s="9">
        <f t="shared" si="28"/>
        <v>0.16240099999999999</v>
      </c>
      <c r="AG46" s="49">
        <f t="shared" si="10"/>
        <v>0.16240099999999999</v>
      </c>
      <c r="AH46" s="50">
        <f t="shared" si="11"/>
        <v>0</v>
      </c>
      <c r="AI46" s="51">
        <f t="shared" si="22"/>
        <v>0.16240099999999999</v>
      </c>
      <c r="AJ46">
        <v>1417</v>
      </c>
      <c r="AK46">
        <v>13</v>
      </c>
      <c r="AL46" s="21">
        <f t="shared" si="23"/>
        <v>1842100</v>
      </c>
      <c r="AM46">
        <v>0</v>
      </c>
      <c r="AN46">
        <v>0</v>
      </c>
      <c r="AO46" s="21">
        <f t="shared" si="24"/>
        <v>0</v>
      </c>
      <c r="AP46" s="21">
        <f t="shared" si="12"/>
        <v>2762999</v>
      </c>
      <c r="AQ46" s="21">
        <f t="shared" si="25"/>
        <v>4605099</v>
      </c>
      <c r="AR46" s="48">
        <v>4359350</v>
      </c>
      <c r="AS46" s="48">
        <f t="shared" si="29"/>
        <v>4605099</v>
      </c>
      <c r="AT46" s="71">
        <v>4699203</v>
      </c>
      <c r="AU46" s="21">
        <f t="shared" si="30"/>
        <v>94104</v>
      </c>
      <c r="AV46" s="52" t="str">
        <f t="shared" si="32"/>
        <v>No</v>
      </c>
      <c r="AW46" s="48">
        <f t="shared" si="26"/>
        <v>0</v>
      </c>
      <c r="AX46" s="53">
        <f t="shared" si="27"/>
        <v>4699203</v>
      </c>
      <c r="AY46" s="54">
        <f t="shared" si="31"/>
        <v>4699203</v>
      </c>
      <c r="AZ46" s="55"/>
      <c r="BA46" s="55"/>
      <c r="BB46" s="55"/>
      <c r="BC46" s="55"/>
      <c r="BD46" s="55"/>
    </row>
    <row r="47" spans="1:56" x14ac:dyDescent="0.5">
      <c r="A47" s="5" t="s">
        <v>75</v>
      </c>
      <c r="B47" s="5"/>
      <c r="C47" s="33"/>
      <c r="D47" s="33"/>
      <c r="E47" s="33"/>
      <c r="F47" s="2">
        <v>4</v>
      </c>
      <c r="G47">
        <v>0</v>
      </c>
      <c r="H47" s="5">
        <v>21</v>
      </c>
      <c r="I47" s="2" t="s">
        <v>98</v>
      </c>
      <c r="J47" s="45"/>
      <c r="K47">
        <v>96</v>
      </c>
      <c r="L47"/>
      <c r="M47">
        <v>31</v>
      </c>
      <c r="N47" s="46">
        <f t="shared" si="13"/>
        <v>9.3000000000000007</v>
      </c>
      <c r="O47" s="46">
        <f t="shared" si="14"/>
        <v>57.6</v>
      </c>
      <c r="P47" s="46">
        <f t="shared" si="15"/>
        <v>0</v>
      </c>
      <c r="Q47" s="46">
        <f t="shared" si="16"/>
        <v>0</v>
      </c>
      <c r="R47" s="47">
        <f t="shared" si="17"/>
        <v>0.32</v>
      </c>
      <c r="S47" s="47">
        <f t="shared" si="5"/>
        <v>0</v>
      </c>
      <c r="T47" s="46">
        <f t="shared" si="6"/>
        <v>0</v>
      </c>
      <c r="U47" s="46">
        <f t="shared" si="18"/>
        <v>0</v>
      </c>
      <c r="V47">
        <v>2</v>
      </c>
      <c r="W47" s="46">
        <f t="shared" si="19"/>
        <v>0.5</v>
      </c>
      <c r="X47" s="22">
        <f t="shared" si="20"/>
        <v>9.3000000000000007</v>
      </c>
      <c r="Y47" s="10">
        <f t="shared" si="21"/>
        <v>105.8</v>
      </c>
      <c r="Z47" s="72">
        <v>377527292.32999998</v>
      </c>
      <c r="AA47" s="71">
        <v>1140</v>
      </c>
      <c r="AB47" s="22">
        <f t="shared" si="7"/>
        <v>331164.28999999998</v>
      </c>
      <c r="AC47" s="9">
        <f t="shared" si="8"/>
        <v>1.2019569999999999</v>
      </c>
      <c r="AD47" s="71">
        <v>87000</v>
      </c>
      <c r="AE47" s="9">
        <f t="shared" si="9"/>
        <v>0.598553</v>
      </c>
      <c r="AF47" s="9">
        <f t="shared" si="28"/>
        <v>-2.0936E-2</v>
      </c>
      <c r="AG47" s="49">
        <f t="shared" si="10"/>
        <v>0.01</v>
      </c>
      <c r="AH47" s="50">
        <f t="shared" si="11"/>
        <v>0</v>
      </c>
      <c r="AI47" s="51">
        <f t="shared" si="22"/>
        <v>0.01</v>
      </c>
      <c r="AJ47">
        <v>30</v>
      </c>
      <c r="AK47">
        <v>4</v>
      </c>
      <c r="AL47" s="21">
        <f t="shared" si="23"/>
        <v>12000</v>
      </c>
      <c r="AM47">
        <v>0</v>
      </c>
      <c r="AN47">
        <v>0</v>
      </c>
      <c r="AO47" s="21">
        <f t="shared" si="24"/>
        <v>0</v>
      </c>
      <c r="AP47" s="21">
        <f t="shared" si="12"/>
        <v>12193</v>
      </c>
      <c r="AQ47" s="21">
        <f t="shared" si="25"/>
        <v>24193</v>
      </c>
      <c r="AR47" s="48">
        <v>177216</v>
      </c>
      <c r="AS47" s="48">
        <f t="shared" si="29"/>
        <v>24193</v>
      </c>
      <c r="AT47" s="71">
        <v>125752</v>
      </c>
      <c r="AU47" s="21">
        <f t="shared" si="30"/>
        <v>101559</v>
      </c>
      <c r="AV47" s="52" t="str">
        <f t="shared" si="32"/>
        <v>No</v>
      </c>
      <c r="AW47" s="48">
        <f t="shared" si="26"/>
        <v>0</v>
      </c>
      <c r="AX47" s="53">
        <f t="shared" si="27"/>
        <v>125752</v>
      </c>
      <c r="AY47" s="54">
        <f t="shared" si="31"/>
        <v>125752</v>
      </c>
      <c r="AZ47" s="55"/>
      <c r="BA47" s="55"/>
      <c r="BB47" s="55"/>
      <c r="BC47" s="55"/>
      <c r="BD47" s="55"/>
    </row>
    <row r="48" spans="1:56" x14ac:dyDescent="0.5">
      <c r="A48" s="5" t="s">
        <v>99</v>
      </c>
      <c r="B48" s="5"/>
      <c r="C48" s="33"/>
      <c r="D48" s="33"/>
      <c r="E48" s="33"/>
      <c r="F48" s="2">
        <v>8</v>
      </c>
      <c r="G48">
        <v>0</v>
      </c>
      <c r="H48" s="5">
        <v>22</v>
      </c>
      <c r="I48" s="2" t="s">
        <v>100</v>
      </c>
      <c r="J48" s="45"/>
      <c r="K48">
        <v>623.36</v>
      </c>
      <c r="L48"/>
      <c r="M48">
        <v>185</v>
      </c>
      <c r="N48" s="46">
        <f t="shared" si="13"/>
        <v>55.5</v>
      </c>
      <c r="O48" s="46">
        <f t="shared" si="14"/>
        <v>374.02</v>
      </c>
      <c r="P48" s="46">
        <f t="shared" si="15"/>
        <v>0</v>
      </c>
      <c r="Q48" s="46">
        <f t="shared" si="16"/>
        <v>0</v>
      </c>
      <c r="R48" s="47">
        <f t="shared" si="17"/>
        <v>0.3</v>
      </c>
      <c r="S48" s="47">
        <f t="shared" si="5"/>
        <v>0</v>
      </c>
      <c r="T48" s="46">
        <f t="shared" si="6"/>
        <v>0</v>
      </c>
      <c r="U48" s="46">
        <f t="shared" si="18"/>
        <v>0</v>
      </c>
      <c r="V48">
        <v>9</v>
      </c>
      <c r="W48" s="46">
        <f t="shared" si="19"/>
        <v>2.25</v>
      </c>
      <c r="X48" s="22">
        <f t="shared" si="20"/>
        <v>55.5</v>
      </c>
      <c r="Y48" s="10">
        <f t="shared" si="21"/>
        <v>681.11</v>
      </c>
      <c r="Z48" s="72">
        <v>874848459.33000004</v>
      </c>
      <c r="AA48" s="71">
        <v>5082</v>
      </c>
      <c r="AB48" s="22">
        <f t="shared" si="7"/>
        <v>172146.49</v>
      </c>
      <c r="AC48" s="9">
        <f t="shared" si="8"/>
        <v>0.62480400000000003</v>
      </c>
      <c r="AD48" s="71">
        <v>99487</v>
      </c>
      <c r="AE48" s="9">
        <f t="shared" si="9"/>
        <v>0.68446300000000004</v>
      </c>
      <c r="AF48" s="9">
        <f t="shared" si="28"/>
        <v>0.357298</v>
      </c>
      <c r="AG48" s="49">
        <f t="shared" si="10"/>
        <v>0.357298</v>
      </c>
      <c r="AH48" s="50">
        <f t="shared" si="11"/>
        <v>0</v>
      </c>
      <c r="AI48" s="51">
        <f t="shared" si="22"/>
        <v>0.357298</v>
      </c>
      <c r="AJ48">
        <v>0</v>
      </c>
      <c r="AK48">
        <v>0</v>
      </c>
      <c r="AL48" s="21">
        <f t="shared" si="23"/>
        <v>0</v>
      </c>
      <c r="AM48">
        <v>121</v>
      </c>
      <c r="AN48">
        <v>4</v>
      </c>
      <c r="AO48" s="21">
        <f t="shared" si="24"/>
        <v>48400</v>
      </c>
      <c r="AP48" s="21">
        <f t="shared" si="12"/>
        <v>2804715</v>
      </c>
      <c r="AQ48" s="21">
        <f t="shared" si="25"/>
        <v>2853115</v>
      </c>
      <c r="AR48" s="48">
        <v>4665608</v>
      </c>
      <c r="AS48" s="48">
        <f t="shared" si="29"/>
        <v>2853115</v>
      </c>
      <c r="AT48" s="71">
        <v>4004835</v>
      </c>
      <c r="AU48" s="21">
        <f t="shared" si="30"/>
        <v>1151720</v>
      </c>
      <c r="AV48" s="52" t="str">
        <f t="shared" si="32"/>
        <v>No</v>
      </c>
      <c r="AW48" s="48">
        <f t="shared" si="26"/>
        <v>0</v>
      </c>
      <c r="AX48" s="53">
        <f t="shared" si="27"/>
        <v>4004835</v>
      </c>
      <c r="AY48" s="54">
        <f t="shared" si="31"/>
        <v>4004835</v>
      </c>
      <c r="AZ48" s="55"/>
      <c r="BA48" s="55"/>
      <c r="BB48" s="55"/>
      <c r="BC48" s="55"/>
      <c r="BD48" s="55"/>
    </row>
    <row r="49" spans="1:56" x14ac:dyDescent="0.5">
      <c r="A49" s="5" t="s">
        <v>71</v>
      </c>
      <c r="B49" s="5"/>
      <c r="C49" s="33"/>
      <c r="D49" s="33"/>
      <c r="E49" s="33"/>
      <c r="F49" s="2">
        <v>4</v>
      </c>
      <c r="G49">
        <v>0</v>
      </c>
      <c r="H49" s="5">
        <v>23</v>
      </c>
      <c r="I49" s="2" t="s">
        <v>101</v>
      </c>
      <c r="J49" s="45"/>
      <c r="K49">
        <v>1420.28</v>
      </c>
      <c r="L49"/>
      <c r="M49">
        <v>216</v>
      </c>
      <c r="N49" s="46">
        <f t="shared" si="13"/>
        <v>64.8</v>
      </c>
      <c r="O49" s="46">
        <f t="shared" si="14"/>
        <v>852.17</v>
      </c>
      <c r="P49" s="46">
        <f t="shared" si="15"/>
        <v>0</v>
      </c>
      <c r="Q49" s="46">
        <f t="shared" si="16"/>
        <v>0</v>
      </c>
      <c r="R49" s="47">
        <f t="shared" si="17"/>
        <v>0.15</v>
      </c>
      <c r="S49" s="47">
        <f t="shared" si="5"/>
        <v>0</v>
      </c>
      <c r="T49" s="46">
        <f t="shared" si="6"/>
        <v>0</v>
      </c>
      <c r="U49" s="46">
        <f t="shared" si="18"/>
        <v>0</v>
      </c>
      <c r="V49">
        <v>9</v>
      </c>
      <c r="W49" s="46">
        <f t="shared" si="19"/>
        <v>2.25</v>
      </c>
      <c r="X49" s="22">
        <f t="shared" si="20"/>
        <v>64.8</v>
      </c>
      <c r="Y49" s="10">
        <f t="shared" si="21"/>
        <v>1487.33</v>
      </c>
      <c r="Z49" s="72">
        <v>2252874785.6700001</v>
      </c>
      <c r="AA49" s="71">
        <v>10108</v>
      </c>
      <c r="AB49" s="22">
        <f t="shared" si="7"/>
        <v>222880.37</v>
      </c>
      <c r="AC49" s="9">
        <f t="shared" si="8"/>
        <v>0.80894200000000005</v>
      </c>
      <c r="AD49" s="71">
        <v>127941</v>
      </c>
      <c r="AE49" s="9">
        <f t="shared" si="9"/>
        <v>0.88022400000000001</v>
      </c>
      <c r="AF49" s="9">
        <f t="shared" si="28"/>
        <v>0.16967299999999999</v>
      </c>
      <c r="AG49" s="49">
        <f t="shared" si="10"/>
        <v>0.16967299999999999</v>
      </c>
      <c r="AH49" s="50">
        <f t="shared" si="11"/>
        <v>0</v>
      </c>
      <c r="AI49" s="51">
        <f t="shared" si="22"/>
        <v>0.16967299999999999</v>
      </c>
      <c r="AJ49">
        <v>0</v>
      </c>
      <c r="AK49">
        <v>0</v>
      </c>
      <c r="AL49" s="21">
        <f t="shared" si="23"/>
        <v>0</v>
      </c>
      <c r="AM49">
        <v>0</v>
      </c>
      <c r="AN49">
        <v>0</v>
      </c>
      <c r="AO49" s="21">
        <f t="shared" si="24"/>
        <v>0</v>
      </c>
      <c r="AP49" s="21">
        <f t="shared" si="12"/>
        <v>2908446</v>
      </c>
      <c r="AQ49" s="21">
        <f t="shared" si="25"/>
        <v>2908446</v>
      </c>
      <c r="AR49" s="48">
        <v>3403900</v>
      </c>
      <c r="AS49" s="48">
        <f t="shared" si="29"/>
        <v>2908446</v>
      </c>
      <c r="AT49" s="71">
        <v>4068515</v>
      </c>
      <c r="AU49" s="21">
        <f t="shared" si="30"/>
        <v>1160069</v>
      </c>
      <c r="AV49" s="52" t="str">
        <f t="shared" si="32"/>
        <v>No</v>
      </c>
      <c r="AW49" s="48">
        <f t="shared" si="26"/>
        <v>0</v>
      </c>
      <c r="AX49" s="53">
        <f t="shared" si="27"/>
        <v>4068515</v>
      </c>
      <c r="AY49" s="54">
        <f t="shared" si="31"/>
        <v>4068515</v>
      </c>
      <c r="AZ49" s="55"/>
      <c r="BA49" s="55"/>
      <c r="BB49" s="55"/>
      <c r="BC49" s="55"/>
      <c r="BD49" s="55"/>
    </row>
    <row r="50" spans="1:56" x14ac:dyDescent="0.5">
      <c r="A50" s="5" t="s">
        <v>75</v>
      </c>
      <c r="B50" s="5"/>
      <c r="C50" s="33"/>
      <c r="D50" s="33"/>
      <c r="E50" s="33"/>
      <c r="F50" s="2">
        <v>9</v>
      </c>
      <c r="G50">
        <v>41</v>
      </c>
      <c r="H50" s="5">
        <v>24</v>
      </c>
      <c r="I50" s="2" t="s">
        <v>102</v>
      </c>
      <c r="J50" s="45"/>
      <c r="K50">
        <v>247.21</v>
      </c>
      <c r="L50"/>
      <c r="M50">
        <v>85</v>
      </c>
      <c r="N50" s="46">
        <f t="shared" si="13"/>
        <v>25.5</v>
      </c>
      <c r="O50" s="46">
        <f t="shared" si="14"/>
        <v>148.33000000000001</v>
      </c>
      <c r="P50" s="46">
        <f t="shared" si="15"/>
        <v>0</v>
      </c>
      <c r="Q50" s="46">
        <f t="shared" si="16"/>
        <v>0</v>
      </c>
      <c r="R50" s="47">
        <f t="shared" si="17"/>
        <v>0.34</v>
      </c>
      <c r="S50" s="47">
        <f t="shared" si="5"/>
        <v>0</v>
      </c>
      <c r="T50" s="46">
        <f t="shared" si="6"/>
        <v>0</v>
      </c>
      <c r="U50" s="46">
        <f t="shared" si="18"/>
        <v>0</v>
      </c>
      <c r="V50">
        <v>2</v>
      </c>
      <c r="W50" s="46">
        <f t="shared" si="19"/>
        <v>0.5</v>
      </c>
      <c r="X50" s="22">
        <f t="shared" si="20"/>
        <v>25.5</v>
      </c>
      <c r="Y50" s="10">
        <f t="shared" si="21"/>
        <v>273.21000000000004</v>
      </c>
      <c r="Z50" s="72">
        <v>373265865.67000002</v>
      </c>
      <c r="AA50" s="71">
        <v>2168</v>
      </c>
      <c r="AB50" s="22">
        <f t="shared" si="7"/>
        <v>172170.6</v>
      </c>
      <c r="AC50" s="9">
        <f t="shared" si="8"/>
        <v>0.62489099999999997</v>
      </c>
      <c r="AD50" s="71">
        <v>96582</v>
      </c>
      <c r="AE50" s="9">
        <f t="shared" si="9"/>
        <v>0.66447699999999998</v>
      </c>
      <c r="AF50" s="9">
        <f t="shared" si="28"/>
        <v>0.36323299999999997</v>
      </c>
      <c r="AG50" s="49">
        <f t="shared" si="10"/>
        <v>0.36323299999999997</v>
      </c>
      <c r="AH50" s="50">
        <f t="shared" si="11"/>
        <v>0</v>
      </c>
      <c r="AI50" s="51">
        <f t="shared" si="22"/>
        <v>0.36323299999999997</v>
      </c>
      <c r="AJ50">
        <v>102</v>
      </c>
      <c r="AK50">
        <v>6</v>
      </c>
      <c r="AL50" s="21">
        <f t="shared" si="23"/>
        <v>61200</v>
      </c>
      <c r="AM50">
        <v>0</v>
      </c>
      <c r="AN50">
        <v>0</v>
      </c>
      <c r="AO50" s="21">
        <f t="shared" si="24"/>
        <v>0</v>
      </c>
      <c r="AP50" s="21">
        <f t="shared" si="12"/>
        <v>1143728</v>
      </c>
      <c r="AQ50" s="21">
        <f t="shared" si="25"/>
        <v>1204928</v>
      </c>
      <c r="AR50" s="48">
        <v>1856992</v>
      </c>
      <c r="AS50" s="48">
        <f t="shared" si="29"/>
        <v>1204928</v>
      </c>
      <c r="AT50" s="71">
        <v>1652147</v>
      </c>
      <c r="AU50" s="21">
        <f t="shared" si="30"/>
        <v>447219</v>
      </c>
      <c r="AV50" s="52" t="str">
        <f t="shared" si="32"/>
        <v>No</v>
      </c>
      <c r="AW50" s="48">
        <f t="shared" si="26"/>
        <v>0</v>
      </c>
      <c r="AX50" s="53">
        <f t="shared" si="27"/>
        <v>1652147</v>
      </c>
      <c r="AY50" s="54">
        <f t="shared" si="31"/>
        <v>1652147</v>
      </c>
      <c r="AZ50" s="55"/>
      <c r="BA50" s="55"/>
      <c r="BB50" s="55"/>
      <c r="BC50" s="55"/>
      <c r="BD50" s="55"/>
    </row>
    <row r="51" spans="1:56" x14ac:dyDescent="0.5">
      <c r="A51" s="5" t="s">
        <v>77</v>
      </c>
      <c r="B51" s="5"/>
      <c r="C51" s="33"/>
      <c r="D51" s="33"/>
      <c r="E51" s="33"/>
      <c r="F51" s="2">
        <v>4</v>
      </c>
      <c r="G51">
        <v>0</v>
      </c>
      <c r="H51" s="5">
        <v>25</v>
      </c>
      <c r="I51" s="2" t="s">
        <v>103</v>
      </c>
      <c r="J51" s="45"/>
      <c r="K51">
        <v>4258.47</v>
      </c>
      <c r="L51"/>
      <c r="M51">
        <v>735</v>
      </c>
      <c r="N51" s="46">
        <f t="shared" si="13"/>
        <v>220.5</v>
      </c>
      <c r="O51" s="46">
        <f t="shared" si="14"/>
        <v>2555.08</v>
      </c>
      <c r="P51" s="46">
        <f t="shared" si="15"/>
        <v>0</v>
      </c>
      <c r="Q51" s="46">
        <f t="shared" si="16"/>
        <v>0</v>
      </c>
      <c r="R51" s="47">
        <f t="shared" si="17"/>
        <v>0.17</v>
      </c>
      <c r="S51" s="47">
        <f t="shared" si="5"/>
        <v>0</v>
      </c>
      <c r="T51" s="46">
        <f t="shared" si="6"/>
        <v>0</v>
      </c>
      <c r="U51" s="46">
        <f t="shared" si="18"/>
        <v>0</v>
      </c>
      <c r="V51">
        <v>171</v>
      </c>
      <c r="W51" s="46">
        <f t="shared" si="19"/>
        <v>42.75</v>
      </c>
      <c r="X51" s="22">
        <f t="shared" si="20"/>
        <v>220.5</v>
      </c>
      <c r="Y51" s="10">
        <f t="shared" si="21"/>
        <v>4521.72</v>
      </c>
      <c r="Z51" s="72">
        <v>5847283707.6700001</v>
      </c>
      <c r="AA51" s="71">
        <v>28852</v>
      </c>
      <c r="AB51" s="22">
        <f t="shared" si="7"/>
        <v>202664.76</v>
      </c>
      <c r="AC51" s="9">
        <f t="shared" si="8"/>
        <v>0.73556999999999995</v>
      </c>
      <c r="AD51" s="71">
        <v>150787</v>
      </c>
      <c r="AE51" s="9">
        <f t="shared" si="9"/>
        <v>1.0374030000000001</v>
      </c>
      <c r="AF51" s="9">
        <f t="shared" si="28"/>
        <v>0.17388000000000001</v>
      </c>
      <c r="AG51" s="49">
        <f t="shared" si="10"/>
        <v>0.17388000000000001</v>
      </c>
      <c r="AH51" s="50">
        <f t="shared" si="11"/>
        <v>0</v>
      </c>
      <c r="AI51" s="51">
        <f t="shared" si="22"/>
        <v>0.17388000000000001</v>
      </c>
      <c r="AJ51">
        <v>0</v>
      </c>
      <c r="AK51">
        <v>0</v>
      </c>
      <c r="AL51" s="21">
        <f t="shared" si="23"/>
        <v>0</v>
      </c>
      <c r="AM51">
        <v>0</v>
      </c>
      <c r="AN51">
        <v>0</v>
      </c>
      <c r="AO51" s="21">
        <f t="shared" si="24"/>
        <v>0</v>
      </c>
      <c r="AP51" s="21">
        <f t="shared" si="12"/>
        <v>9061378</v>
      </c>
      <c r="AQ51" s="21">
        <f t="shared" si="25"/>
        <v>9061378</v>
      </c>
      <c r="AR51" s="48">
        <v>9436665</v>
      </c>
      <c r="AS51" s="48">
        <f t="shared" si="29"/>
        <v>9061378</v>
      </c>
      <c r="AT51" s="71">
        <v>9439993</v>
      </c>
      <c r="AU51" s="21">
        <f t="shared" si="30"/>
        <v>378615</v>
      </c>
      <c r="AV51" s="52" t="str">
        <f t="shared" si="32"/>
        <v>No</v>
      </c>
      <c r="AW51" s="48">
        <f t="shared" si="26"/>
        <v>0</v>
      </c>
      <c r="AX51" s="53">
        <f t="shared" si="27"/>
        <v>9439993</v>
      </c>
      <c r="AY51" s="54">
        <f t="shared" si="31"/>
        <v>9439993</v>
      </c>
      <c r="AZ51" s="55"/>
      <c r="BA51" s="55"/>
      <c r="BB51" s="55"/>
      <c r="BC51" s="55"/>
      <c r="BD51" s="55"/>
    </row>
    <row r="52" spans="1:56" x14ac:dyDescent="0.5">
      <c r="A52" s="5" t="s">
        <v>75</v>
      </c>
      <c r="B52" s="5"/>
      <c r="C52" s="33"/>
      <c r="D52" s="33"/>
      <c r="E52" s="33"/>
      <c r="F52" s="2">
        <v>4</v>
      </c>
      <c r="G52">
        <v>0</v>
      </c>
      <c r="H52" s="5">
        <v>26</v>
      </c>
      <c r="I52" s="2" t="s">
        <v>104</v>
      </c>
      <c r="J52" s="45"/>
      <c r="K52">
        <v>365.35</v>
      </c>
      <c r="L52"/>
      <c r="M52">
        <v>91</v>
      </c>
      <c r="N52" s="46">
        <f t="shared" si="13"/>
        <v>27.3</v>
      </c>
      <c r="O52" s="46">
        <f t="shared" si="14"/>
        <v>219.21</v>
      </c>
      <c r="P52" s="46">
        <f t="shared" si="15"/>
        <v>0</v>
      </c>
      <c r="Q52" s="46">
        <f t="shared" si="16"/>
        <v>0</v>
      </c>
      <c r="R52" s="47">
        <f t="shared" si="17"/>
        <v>0.25</v>
      </c>
      <c r="S52" s="47">
        <f t="shared" si="5"/>
        <v>0</v>
      </c>
      <c r="T52" s="46">
        <f t="shared" si="6"/>
        <v>0</v>
      </c>
      <c r="U52" s="46">
        <f t="shared" si="18"/>
        <v>0</v>
      </c>
      <c r="V52">
        <v>4</v>
      </c>
      <c r="W52" s="46">
        <f t="shared" si="19"/>
        <v>1</v>
      </c>
      <c r="X52" s="22">
        <f t="shared" si="20"/>
        <v>27.3</v>
      </c>
      <c r="Y52" s="10">
        <f t="shared" si="21"/>
        <v>393.65000000000003</v>
      </c>
      <c r="Z52" s="72">
        <v>895636807.66999996</v>
      </c>
      <c r="AA52" s="71">
        <v>3786</v>
      </c>
      <c r="AB52" s="22">
        <f t="shared" si="7"/>
        <v>236565.45</v>
      </c>
      <c r="AC52" s="9">
        <f t="shared" si="8"/>
        <v>0.85861200000000004</v>
      </c>
      <c r="AD52" s="71">
        <v>94570</v>
      </c>
      <c r="AE52" s="9">
        <f t="shared" si="9"/>
        <v>0.65063400000000005</v>
      </c>
      <c r="AF52" s="9">
        <f t="shared" si="28"/>
        <v>0.20378099999999999</v>
      </c>
      <c r="AG52" s="49">
        <f t="shared" si="10"/>
        <v>0.20378099999999999</v>
      </c>
      <c r="AH52" s="50">
        <f t="shared" si="11"/>
        <v>0</v>
      </c>
      <c r="AI52" s="51">
        <f t="shared" si="22"/>
        <v>0.20378099999999999</v>
      </c>
      <c r="AJ52">
        <v>160</v>
      </c>
      <c r="AK52">
        <v>6</v>
      </c>
      <c r="AL52" s="21">
        <f t="shared" si="23"/>
        <v>96000</v>
      </c>
      <c r="AM52">
        <v>0</v>
      </c>
      <c r="AN52">
        <v>0</v>
      </c>
      <c r="AO52" s="21">
        <f t="shared" si="24"/>
        <v>0</v>
      </c>
      <c r="AP52" s="21">
        <f t="shared" si="12"/>
        <v>924517</v>
      </c>
      <c r="AQ52" s="21">
        <f t="shared" si="25"/>
        <v>1020517</v>
      </c>
      <c r="AR52" s="48">
        <v>659216</v>
      </c>
      <c r="AS52" s="48">
        <f t="shared" si="29"/>
        <v>1020517</v>
      </c>
      <c r="AT52" s="71">
        <v>991921</v>
      </c>
      <c r="AU52" s="21">
        <f t="shared" si="30"/>
        <v>28596</v>
      </c>
      <c r="AV52" s="52" t="str">
        <f t="shared" si="32"/>
        <v>Yes</v>
      </c>
      <c r="AW52" s="48">
        <f t="shared" si="26"/>
        <v>28596</v>
      </c>
      <c r="AX52" s="53">
        <f t="shared" si="27"/>
        <v>1020517</v>
      </c>
      <c r="AY52" s="54">
        <f t="shared" si="31"/>
        <v>1020517</v>
      </c>
      <c r="AZ52" s="55"/>
      <c r="BA52" s="55"/>
      <c r="BB52" s="55"/>
      <c r="BC52" s="55"/>
      <c r="BD52" s="55"/>
    </row>
    <row r="53" spans="1:56" x14ac:dyDescent="0.5">
      <c r="A53" s="5" t="s">
        <v>81</v>
      </c>
      <c r="B53" s="5"/>
      <c r="C53" s="33"/>
      <c r="D53" s="33"/>
      <c r="E53" s="33"/>
      <c r="F53" s="2">
        <v>5</v>
      </c>
      <c r="G53">
        <v>0</v>
      </c>
      <c r="H53" s="5">
        <v>27</v>
      </c>
      <c r="I53" s="2" t="s">
        <v>105</v>
      </c>
      <c r="J53" s="45"/>
      <c r="K53">
        <v>1376.94</v>
      </c>
      <c r="L53"/>
      <c r="M53">
        <v>551</v>
      </c>
      <c r="N53" s="46">
        <f t="shared" si="13"/>
        <v>165.3</v>
      </c>
      <c r="O53" s="46">
        <f t="shared" si="14"/>
        <v>826.16</v>
      </c>
      <c r="P53" s="46">
        <f t="shared" si="15"/>
        <v>0</v>
      </c>
      <c r="Q53" s="46">
        <f t="shared" si="16"/>
        <v>0</v>
      </c>
      <c r="R53" s="47">
        <f t="shared" si="17"/>
        <v>0.4</v>
      </c>
      <c r="S53" s="47">
        <f t="shared" si="5"/>
        <v>0</v>
      </c>
      <c r="T53" s="46">
        <f t="shared" si="6"/>
        <v>0</v>
      </c>
      <c r="U53" s="46">
        <f t="shared" si="18"/>
        <v>0</v>
      </c>
      <c r="V53">
        <v>161</v>
      </c>
      <c r="W53" s="46">
        <f t="shared" si="19"/>
        <v>40.25</v>
      </c>
      <c r="X53" s="22">
        <f t="shared" si="20"/>
        <v>165.3</v>
      </c>
      <c r="Y53" s="10">
        <f t="shared" si="21"/>
        <v>1582.49</v>
      </c>
      <c r="Z53" s="72">
        <v>3528115533.6700001</v>
      </c>
      <c r="AA53" s="71">
        <v>13317</v>
      </c>
      <c r="AB53" s="22">
        <f t="shared" si="7"/>
        <v>264933.21000000002</v>
      </c>
      <c r="AC53" s="9">
        <f t="shared" si="8"/>
        <v>0.96157199999999998</v>
      </c>
      <c r="AD53" s="71">
        <v>116023</v>
      </c>
      <c r="AE53" s="9">
        <f t="shared" si="9"/>
        <v>0.79822899999999997</v>
      </c>
      <c r="AF53" s="9">
        <f t="shared" si="28"/>
        <v>8.7430999999999995E-2</v>
      </c>
      <c r="AG53" s="49">
        <f t="shared" si="10"/>
        <v>8.7430999999999995E-2</v>
      </c>
      <c r="AH53" s="50">
        <f t="shared" si="11"/>
        <v>0</v>
      </c>
      <c r="AI53" s="51">
        <f t="shared" si="22"/>
        <v>8.7430999999999995E-2</v>
      </c>
      <c r="AJ53">
        <v>0</v>
      </c>
      <c r="AK53">
        <v>0</v>
      </c>
      <c r="AL53" s="21">
        <f t="shared" si="23"/>
        <v>0</v>
      </c>
      <c r="AM53">
        <v>0</v>
      </c>
      <c r="AN53">
        <v>0</v>
      </c>
      <c r="AO53" s="21">
        <f t="shared" si="24"/>
        <v>0</v>
      </c>
      <c r="AP53" s="21">
        <f t="shared" si="12"/>
        <v>1594584</v>
      </c>
      <c r="AQ53" s="21">
        <f t="shared" si="25"/>
        <v>1594584</v>
      </c>
      <c r="AR53" s="48">
        <v>6326998</v>
      </c>
      <c r="AS53" s="48">
        <f t="shared" si="29"/>
        <v>1594584</v>
      </c>
      <c r="AT53" s="71">
        <v>5192084</v>
      </c>
      <c r="AU53" s="21">
        <f t="shared" si="30"/>
        <v>3597500</v>
      </c>
      <c r="AV53" s="52" t="str">
        <f t="shared" si="32"/>
        <v>No</v>
      </c>
      <c r="AW53" s="48">
        <f t="shared" si="26"/>
        <v>0</v>
      </c>
      <c r="AX53" s="53">
        <f t="shared" si="27"/>
        <v>5192084</v>
      </c>
      <c r="AY53" s="54">
        <f t="shared" si="31"/>
        <v>5192084</v>
      </c>
      <c r="AZ53" s="55"/>
      <c r="BA53" s="55"/>
      <c r="BB53" s="55"/>
      <c r="BC53" s="55"/>
      <c r="BD53" s="55"/>
    </row>
    <row r="54" spans="1:56" x14ac:dyDescent="0.5">
      <c r="A54" s="5" t="s">
        <v>81</v>
      </c>
      <c r="B54" s="5"/>
      <c r="C54" s="33"/>
      <c r="D54" s="33"/>
      <c r="E54" s="33"/>
      <c r="F54" s="2">
        <v>6</v>
      </c>
      <c r="G54">
        <v>0</v>
      </c>
      <c r="H54" s="5">
        <v>28</v>
      </c>
      <c r="I54" s="2" t="s">
        <v>106</v>
      </c>
      <c r="J54" s="45"/>
      <c r="K54">
        <v>2037.37</v>
      </c>
      <c r="L54"/>
      <c r="M54">
        <v>465</v>
      </c>
      <c r="N54" s="46">
        <f t="shared" si="13"/>
        <v>139.5</v>
      </c>
      <c r="O54" s="46">
        <f t="shared" si="14"/>
        <v>1222.42</v>
      </c>
      <c r="P54" s="46">
        <f t="shared" si="15"/>
        <v>0</v>
      </c>
      <c r="Q54" s="46">
        <f t="shared" si="16"/>
        <v>0</v>
      </c>
      <c r="R54" s="47">
        <f t="shared" si="17"/>
        <v>0.23</v>
      </c>
      <c r="S54" s="47">
        <f t="shared" si="5"/>
        <v>0</v>
      </c>
      <c r="T54" s="46">
        <f t="shared" si="6"/>
        <v>0</v>
      </c>
      <c r="U54" s="46">
        <f t="shared" si="18"/>
        <v>0</v>
      </c>
      <c r="V54">
        <v>43</v>
      </c>
      <c r="W54" s="46">
        <f t="shared" si="19"/>
        <v>10.75</v>
      </c>
      <c r="X54" s="22">
        <f t="shared" si="20"/>
        <v>139.5</v>
      </c>
      <c r="Y54" s="10">
        <f t="shared" si="21"/>
        <v>2187.62</v>
      </c>
      <c r="Z54" s="72">
        <v>2652039922</v>
      </c>
      <c r="AA54" s="71">
        <v>15505</v>
      </c>
      <c r="AB54" s="22">
        <f t="shared" si="7"/>
        <v>171044.17</v>
      </c>
      <c r="AC54" s="9">
        <f t="shared" si="8"/>
        <v>0.62080299999999999</v>
      </c>
      <c r="AD54" s="71">
        <v>118839</v>
      </c>
      <c r="AE54" s="9">
        <f t="shared" si="9"/>
        <v>0.81760299999999997</v>
      </c>
      <c r="AF54" s="9">
        <f t="shared" si="28"/>
        <v>0.32015700000000002</v>
      </c>
      <c r="AG54" s="49">
        <f t="shared" si="10"/>
        <v>0.32015700000000002</v>
      </c>
      <c r="AH54" s="50">
        <f t="shared" si="11"/>
        <v>0</v>
      </c>
      <c r="AI54" s="51">
        <f t="shared" si="22"/>
        <v>0.32015700000000002</v>
      </c>
      <c r="AJ54">
        <v>0</v>
      </c>
      <c r="AK54">
        <v>0</v>
      </c>
      <c r="AL54" s="21">
        <f t="shared" si="23"/>
        <v>0</v>
      </c>
      <c r="AM54">
        <v>1</v>
      </c>
      <c r="AN54">
        <v>4</v>
      </c>
      <c r="AO54" s="21">
        <f t="shared" si="24"/>
        <v>400</v>
      </c>
      <c r="AP54" s="21">
        <f t="shared" si="12"/>
        <v>8071901</v>
      </c>
      <c r="AQ54" s="21">
        <f t="shared" si="25"/>
        <v>8072301</v>
      </c>
      <c r="AR54" s="48">
        <v>13503310</v>
      </c>
      <c r="AS54" s="48">
        <f t="shared" si="29"/>
        <v>8072301</v>
      </c>
      <c r="AT54" s="71">
        <v>12040218</v>
      </c>
      <c r="AU54" s="21">
        <f t="shared" si="30"/>
        <v>3967917</v>
      </c>
      <c r="AV54" s="52" t="str">
        <f t="shared" si="32"/>
        <v>No</v>
      </c>
      <c r="AW54" s="48">
        <f t="shared" si="26"/>
        <v>0</v>
      </c>
      <c r="AX54" s="53">
        <f t="shared" si="27"/>
        <v>12040218</v>
      </c>
      <c r="AY54" s="54">
        <f t="shared" si="31"/>
        <v>12040218</v>
      </c>
      <c r="AZ54" s="55"/>
      <c r="BA54" s="55"/>
      <c r="BB54" s="55"/>
      <c r="BC54" s="55"/>
      <c r="BD54" s="55"/>
    </row>
    <row r="55" spans="1:56" x14ac:dyDescent="0.5">
      <c r="A55" s="5" t="s">
        <v>75</v>
      </c>
      <c r="B55" s="5"/>
      <c r="C55" s="33"/>
      <c r="D55" s="33"/>
      <c r="E55" s="33"/>
      <c r="F55" s="2">
        <v>5</v>
      </c>
      <c r="G55">
        <v>0</v>
      </c>
      <c r="H55" s="5">
        <v>29</v>
      </c>
      <c r="I55" s="2" t="s">
        <v>107</v>
      </c>
      <c r="J55" s="45"/>
      <c r="K55">
        <v>136.78</v>
      </c>
      <c r="L55"/>
      <c r="M55">
        <v>40</v>
      </c>
      <c r="N55" s="46">
        <f t="shared" si="13"/>
        <v>12</v>
      </c>
      <c r="O55" s="46">
        <f t="shared" si="14"/>
        <v>82.07</v>
      </c>
      <c r="P55" s="46">
        <f t="shared" si="15"/>
        <v>0</v>
      </c>
      <c r="Q55" s="46">
        <f t="shared" si="16"/>
        <v>0</v>
      </c>
      <c r="R55" s="47">
        <f t="shared" si="17"/>
        <v>0.28999999999999998</v>
      </c>
      <c r="S55" s="47">
        <f t="shared" si="5"/>
        <v>0</v>
      </c>
      <c r="T55" s="46">
        <f t="shared" si="6"/>
        <v>0</v>
      </c>
      <c r="U55" s="46">
        <f t="shared" si="18"/>
        <v>0</v>
      </c>
      <c r="V55">
        <v>0</v>
      </c>
      <c r="W55" s="46">
        <f t="shared" si="19"/>
        <v>0</v>
      </c>
      <c r="X55" s="22">
        <f t="shared" si="20"/>
        <v>12</v>
      </c>
      <c r="Y55" s="10">
        <f t="shared" si="21"/>
        <v>148.78</v>
      </c>
      <c r="Z55" s="72">
        <v>386146889.67000002</v>
      </c>
      <c r="AA55" s="71">
        <v>1463</v>
      </c>
      <c r="AB55" s="22">
        <f t="shared" si="7"/>
        <v>263941.82</v>
      </c>
      <c r="AC55" s="9">
        <f t="shared" si="8"/>
        <v>0.95797399999999999</v>
      </c>
      <c r="AD55" s="71">
        <v>114904</v>
      </c>
      <c r="AE55" s="9">
        <f t="shared" si="9"/>
        <v>0.79053099999999998</v>
      </c>
      <c r="AF55" s="9">
        <f t="shared" si="28"/>
        <v>9.2258999999999994E-2</v>
      </c>
      <c r="AG55" s="49">
        <f t="shared" si="10"/>
        <v>9.2258999999999994E-2</v>
      </c>
      <c r="AH55" s="50">
        <f t="shared" si="11"/>
        <v>0</v>
      </c>
      <c r="AI55" s="51">
        <f t="shared" si="22"/>
        <v>9.2258999999999994E-2</v>
      </c>
      <c r="AJ55">
        <v>70</v>
      </c>
      <c r="AK55">
        <v>6</v>
      </c>
      <c r="AL55" s="21">
        <f t="shared" si="23"/>
        <v>42000</v>
      </c>
      <c r="AM55">
        <v>0</v>
      </c>
      <c r="AN55">
        <v>0</v>
      </c>
      <c r="AO55" s="21">
        <f t="shared" si="24"/>
        <v>0</v>
      </c>
      <c r="AP55" s="21">
        <f t="shared" si="12"/>
        <v>158196</v>
      </c>
      <c r="AQ55" s="21">
        <f t="shared" si="25"/>
        <v>200196</v>
      </c>
      <c r="AR55" s="48">
        <v>491388</v>
      </c>
      <c r="AS55" s="48">
        <f t="shared" si="29"/>
        <v>200196</v>
      </c>
      <c r="AT55" s="71">
        <v>403912</v>
      </c>
      <c r="AU55" s="21">
        <f t="shared" si="30"/>
        <v>203716</v>
      </c>
      <c r="AV55" s="52" t="str">
        <f t="shared" si="32"/>
        <v>No</v>
      </c>
      <c r="AW55" s="48">
        <f t="shared" si="26"/>
        <v>0</v>
      </c>
      <c r="AX55" s="53">
        <f t="shared" si="27"/>
        <v>403912</v>
      </c>
      <c r="AY55" s="54">
        <f t="shared" si="31"/>
        <v>403912</v>
      </c>
      <c r="AZ55" s="55"/>
      <c r="BA55" s="55"/>
      <c r="BB55" s="55"/>
      <c r="BC55" s="55"/>
      <c r="BD55" s="55"/>
    </row>
    <row r="56" spans="1:56" x14ac:dyDescent="0.5">
      <c r="A56" s="5" t="s">
        <v>71</v>
      </c>
      <c r="B56" s="5"/>
      <c r="C56" s="33"/>
      <c r="D56" s="33"/>
      <c r="E56" s="33"/>
      <c r="F56" s="2">
        <v>6</v>
      </c>
      <c r="G56">
        <v>0</v>
      </c>
      <c r="H56" s="5">
        <v>30</v>
      </c>
      <c r="I56" s="2" t="s">
        <v>108</v>
      </c>
      <c r="J56" s="45"/>
      <c r="K56">
        <v>602.35</v>
      </c>
      <c r="L56"/>
      <c r="M56">
        <v>135</v>
      </c>
      <c r="N56" s="46">
        <f t="shared" si="13"/>
        <v>40.5</v>
      </c>
      <c r="O56" s="46">
        <f t="shared" si="14"/>
        <v>361.41</v>
      </c>
      <c r="P56" s="46">
        <f t="shared" si="15"/>
        <v>0</v>
      </c>
      <c r="Q56" s="46">
        <f t="shared" si="16"/>
        <v>0</v>
      </c>
      <c r="R56" s="47">
        <f t="shared" si="17"/>
        <v>0.22</v>
      </c>
      <c r="S56" s="47">
        <f t="shared" si="5"/>
        <v>0</v>
      </c>
      <c r="T56" s="46">
        <f t="shared" si="6"/>
        <v>0</v>
      </c>
      <c r="U56" s="46">
        <f t="shared" si="18"/>
        <v>0</v>
      </c>
      <c r="V56">
        <v>4</v>
      </c>
      <c r="W56" s="46">
        <f t="shared" si="19"/>
        <v>1</v>
      </c>
      <c r="X56" s="22">
        <f t="shared" si="20"/>
        <v>40.5</v>
      </c>
      <c r="Y56" s="10">
        <f t="shared" si="21"/>
        <v>643.85</v>
      </c>
      <c r="Z56" s="72">
        <v>1031527679</v>
      </c>
      <c r="AA56" s="71">
        <v>5268</v>
      </c>
      <c r="AB56" s="22">
        <f t="shared" si="7"/>
        <v>195810.11</v>
      </c>
      <c r="AC56" s="9">
        <f t="shared" si="8"/>
        <v>0.71069099999999996</v>
      </c>
      <c r="AD56" s="71">
        <v>122500</v>
      </c>
      <c r="AE56" s="9">
        <f t="shared" si="9"/>
        <v>0.84279099999999996</v>
      </c>
      <c r="AF56" s="9">
        <f t="shared" si="28"/>
        <v>0.24967900000000001</v>
      </c>
      <c r="AG56" s="49">
        <f t="shared" si="10"/>
        <v>0.24967900000000001</v>
      </c>
      <c r="AH56" s="50">
        <f t="shared" si="11"/>
        <v>0</v>
      </c>
      <c r="AI56" s="51">
        <f t="shared" si="22"/>
        <v>0.24967900000000001</v>
      </c>
      <c r="AJ56">
        <v>0</v>
      </c>
      <c r="AK56">
        <v>0</v>
      </c>
      <c r="AL56" s="21">
        <f t="shared" si="23"/>
        <v>0</v>
      </c>
      <c r="AM56">
        <v>0</v>
      </c>
      <c r="AN56">
        <v>0</v>
      </c>
      <c r="AO56" s="21">
        <f t="shared" si="24"/>
        <v>0</v>
      </c>
      <c r="AP56" s="21">
        <f t="shared" si="12"/>
        <v>1852711</v>
      </c>
      <c r="AQ56" s="21">
        <f t="shared" si="25"/>
        <v>1852711</v>
      </c>
      <c r="AR56" s="48">
        <v>2523462</v>
      </c>
      <c r="AS56" s="48">
        <f t="shared" si="29"/>
        <v>1852711</v>
      </c>
      <c r="AT56" s="71">
        <v>2316189</v>
      </c>
      <c r="AU56" s="21">
        <f t="shared" si="30"/>
        <v>463478</v>
      </c>
      <c r="AV56" s="52" t="str">
        <f t="shared" si="32"/>
        <v>No</v>
      </c>
      <c r="AW56" s="48">
        <f t="shared" si="26"/>
        <v>0</v>
      </c>
      <c r="AX56" s="53">
        <f t="shared" si="27"/>
        <v>2316189</v>
      </c>
      <c r="AY56" s="54">
        <f t="shared" si="31"/>
        <v>2316189</v>
      </c>
      <c r="AZ56" s="55"/>
      <c r="BA56" s="55"/>
      <c r="BB56" s="55"/>
      <c r="BC56" s="55"/>
      <c r="BD56" s="55"/>
    </row>
    <row r="57" spans="1:56" x14ac:dyDescent="0.5">
      <c r="A57" s="5" t="s">
        <v>71</v>
      </c>
      <c r="B57" s="5"/>
      <c r="C57" s="33"/>
      <c r="D57" s="33"/>
      <c r="E57" s="33"/>
      <c r="F57" s="2">
        <v>1</v>
      </c>
      <c r="G57">
        <v>0</v>
      </c>
      <c r="H57" s="5">
        <v>31</v>
      </c>
      <c r="I57" s="2" t="s">
        <v>109</v>
      </c>
      <c r="J57" s="45"/>
      <c r="K57">
        <v>119.62</v>
      </c>
      <c r="L57"/>
      <c r="M57">
        <v>38</v>
      </c>
      <c r="N57" s="46">
        <f t="shared" si="13"/>
        <v>11.4</v>
      </c>
      <c r="O57" s="46">
        <f t="shared" si="14"/>
        <v>71.77</v>
      </c>
      <c r="P57" s="46">
        <f t="shared" si="15"/>
        <v>0</v>
      </c>
      <c r="Q57" s="46">
        <f t="shared" si="16"/>
        <v>0</v>
      </c>
      <c r="R57" s="47">
        <f t="shared" si="17"/>
        <v>0.32</v>
      </c>
      <c r="S57" s="47">
        <f t="shared" si="5"/>
        <v>0</v>
      </c>
      <c r="T57" s="46">
        <f t="shared" si="6"/>
        <v>0</v>
      </c>
      <c r="U57" s="46">
        <f t="shared" si="18"/>
        <v>0</v>
      </c>
      <c r="V57">
        <v>2</v>
      </c>
      <c r="W57" s="46">
        <f t="shared" si="19"/>
        <v>0.5</v>
      </c>
      <c r="X57" s="22">
        <f t="shared" si="20"/>
        <v>11.4</v>
      </c>
      <c r="Y57" s="10">
        <f t="shared" si="21"/>
        <v>131.52000000000001</v>
      </c>
      <c r="Z57" s="72">
        <v>749541853</v>
      </c>
      <c r="AA57" s="71">
        <v>1438</v>
      </c>
      <c r="AB57" s="22">
        <f t="shared" si="7"/>
        <v>521239.12</v>
      </c>
      <c r="AC57" s="9">
        <f t="shared" si="8"/>
        <v>1.891832</v>
      </c>
      <c r="AD57" s="71">
        <v>101339</v>
      </c>
      <c r="AE57" s="9">
        <f t="shared" si="9"/>
        <v>0.69720499999999996</v>
      </c>
      <c r="AF57" s="9">
        <f t="shared" si="28"/>
        <v>-0.53344400000000003</v>
      </c>
      <c r="AG57" s="49">
        <f t="shared" si="10"/>
        <v>0.01</v>
      </c>
      <c r="AH57" s="50">
        <f t="shared" si="11"/>
        <v>0</v>
      </c>
      <c r="AI57" s="51">
        <f t="shared" si="22"/>
        <v>0.01</v>
      </c>
      <c r="AJ57">
        <v>36</v>
      </c>
      <c r="AK57">
        <v>4</v>
      </c>
      <c r="AL57" s="21">
        <f t="shared" si="23"/>
        <v>14400</v>
      </c>
      <c r="AM57">
        <v>0</v>
      </c>
      <c r="AN57">
        <v>0</v>
      </c>
      <c r="AO57" s="21">
        <f t="shared" si="24"/>
        <v>0</v>
      </c>
      <c r="AP57" s="21">
        <f t="shared" si="12"/>
        <v>15158</v>
      </c>
      <c r="AQ57" s="21">
        <f t="shared" si="25"/>
        <v>29558</v>
      </c>
      <c r="AR57" s="48">
        <v>6976</v>
      </c>
      <c r="AS57" s="48">
        <f t="shared" si="29"/>
        <v>29558</v>
      </c>
      <c r="AT57" s="71">
        <v>32190</v>
      </c>
      <c r="AU57" s="21">
        <f t="shared" si="30"/>
        <v>2632</v>
      </c>
      <c r="AV57" s="52" t="str">
        <f t="shared" si="32"/>
        <v>No</v>
      </c>
      <c r="AW57" s="48">
        <f t="shared" si="26"/>
        <v>0</v>
      </c>
      <c r="AX57" s="53">
        <f t="shared" si="27"/>
        <v>32190</v>
      </c>
      <c r="AY57" s="54">
        <f t="shared" si="31"/>
        <v>32190</v>
      </c>
      <c r="AZ57" s="55"/>
      <c r="BA57" s="55"/>
      <c r="BB57" s="55"/>
      <c r="BC57" s="55"/>
      <c r="BD57" s="55"/>
    </row>
    <row r="58" spans="1:56" x14ac:dyDescent="0.5">
      <c r="A58" s="5" t="s">
        <v>75</v>
      </c>
      <c r="B58" s="5"/>
      <c r="C58" s="33"/>
      <c r="D58" s="33"/>
      <c r="E58" s="33"/>
      <c r="F58" s="2">
        <v>7</v>
      </c>
      <c r="G58">
        <v>0</v>
      </c>
      <c r="H58" s="5">
        <v>32</v>
      </c>
      <c r="I58" s="2" t="s">
        <v>110</v>
      </c>
      <c r="J58" s="45"/>
      <c r="K58">
        <v>1582.03</v>
      </c>
      <c r="L58"/>
      <c r="M58">
        <v>419</v>
      </c>
      <c r="N58" s="46">
        <f t="shared" si="13"/>
        <v>125.7</v>
      </c>
      <c r="O58" s="46">
        <f t="shared" si="14"/>
        <v>949.22</v>
      </c>
      <c r="P58" s="46">
        <f t="shared" si="15"/>
        <v>0</v>
      </c>
      <c r="Q58" s="46">
        <f t="shared" si="16"/>
        <v>0</v>
      </c>
      <c r="R58" s="47">
        <f t="shared" si="17"/>
        <v>0.26</v>
      </c>
      <c r="S58" s="47">
        <f t="shared" si="5"/>
        <v>0</v>
      </c>
      <c r="T58" s="46">
        <f t="shared" si="6"/>
        <v>0</v>
      </c>
      <c r="U58" s="46">
        <f t="shared" si="18"/>
        <v>0</v>
      </c>
      <c r="V58">
        <v>23</v>
      </c>
      <c r="W58" s="46">
        <f t="shared" si="19"/>
        <v>5.75</v>
      </c>
      <c r="X58" s="22">
        <f t="shared" si="20"/>
        <v>125.7</v>
      </c>
      <c r="Y58" s="10">
        <f t="shared" si="21"/>
        <v>1713.48</v>
      </c>
      <c r="Z58" s="72">
        <v>2170063541.3299999</v>
      </c>
      <c r="AA58" s="71">
        <v>12267</v>
      </c>
      <c r="AB58" s="22">
        <f t="shared" si="7"/>
        <v>176902.55</v>
      </c>
      <c r="AC58" s="9">
        <f t="shared" si="8"/>
        <v>0.64206600000000003</v>
      </c>
      <c r="AD58" s="71">
        <v>104953</v>
      </c>
      <c r="AE58" s="9">
        <f t="shared" si="9"/>
        <v>0.72206899999999996</v>
      </c>
      <c r="AF58" s="9">
        <f t="shared" si="28"/>
        <v>0.33393299999999998</v>
      </c>
      <c r="AG58" s="49">
        <f t="shared" si="10"/>
        <v>0.33393299999999998</v>
      </c>
      <c r="AH58" s="50">
        <f t="shared" si="11"/>
        <v>0</v>
      </c>
      <c r="AI58" s="51">
        <f t="shared" si="22"/>
        <v>0.33393299999999998</v>
      </c>
      <c r="AJ58">
        <v>0</v>
      </c>
      <c r="AK58">
        <v>0</v>
      </c>
      <c r="AL58" s="21">
        <f t="shared" si="23"/>
        <v>0</v>
      </c>
      <c r="AM58">
        <v>0</v>
      </c>
      <c r="AN58">
        <v>0</v>
      </c>
      <c r="AO58" s="21">
        <f t="shared" si="24"/>
        <v>0</v>
      </c>
      <c r="AP58" s="21">
        <f t="shared" si="12"/>
        <v>6594461</v>
      </c>
      <c r="AQ58" s="21">
        <f t="shared" si="25"/>
        <v>6594461</v>
      </c>
      <c r="AR58" s="48">
        <v>8756165</v>
      </c>
      <c r="AS58" s="48">
        <f t="shared" si="29"/>
        <v>6594461</v>
      </c>
      <c r="AT58" s="71">
        <v>7952911</v>
      </c>
      <c r="AU58" s="21">
        <f t="shared" si="30"/>
        <v>1358450</v>
      </c>
      <c r="AV58" s="52" t="str">
        <f t="shared" si="32"/>
        <v>No</v>
      </c>
      <c r="AW58" s="48">
        <f t="shared" si="26"/>
        <v>0</v>
      </c>
      <c r="AX58" s="53">
        <f t="shared" si="27"/>
        <v>7952911</v>
      </c>
      <c r="AY58" s="54">
        <f t="shared" si="31"/>
        <v>7952911</v>
      </c>
      <c r="AZ58" s="55"/>
      <c r="BA58" s="55"/>
      <c r="BB58" s="55"/>
      <c r="BC58" s="55"/>
      <c r="BD58" s="55"/>
    </row>
    <row r="59" spans="1:56" x14ac:dyDescent="0.5">
      <c r="A59" s="5" t="s">
        <v>81</v>
      </c>
      <c r="B59" s="5"/>
      <c r="C59" s="33"/>
      <c r="D59" s="33"/>
      <c r="E59" s="33"/>
      <c r="F59" s="2">
        <v>6</v>
      </c>
      <c r="G59">
        <v>0</v>
      </c>
      <c r="H59" s="5">
        <v>33</v>
      </c>
      <c r="I59" s="2" t="s">
        <v>111</v>
      </c>
      <c r="J59" s="45"/>
      <c r="K59">
        <v>1813.33</v>
      </c>
      <c r="L59"/>
      <c r="M59">
        <v>400</v>
      </c>
      <c r="N59" s="46">
        <f t="shared" si="13"/>
        <v>120</v>
      </c>
      <c r="O59" s="46">
        <f t="shared" si="14"/>
        <v>1088</v>
      </c>
      <c r="P59" s="46">
        <f t="shared" si="15"/>
        <v>0</v>
      </c>
      <c r="Q59" s="46">
        <f t="shared" si="16"/>
        <v>0</v>
      </c>
      <c r="R59" s="47">
        <f t="shared" si="17"/>
        <v>0.22</v>
      </c>
      <c r="S59" s="47">
        <f t="shared" si="5"/>
        <v>0</v>
      </c>
      <c r="T59" s="46">
        <f t="shared" si="6"/>
        <v>0</v>
      </c>
      <c r="U59" s="46">
        <f t="shared" si="18"/>
        <v>0</v>
      </c>
      <c r="V59">
        <v>112</v>
      </c>
      <c r="W59" s="46">
        <f t="shared" si="19"/>
        <v>28</v>
      </c>
      <c r="X59" s="22">
        <f t="shared" si="20"/>
        <v>120</v>
      </c>
      <c r="Y59" s="10">
        <f t="shared" si="21"/>
        <v>1961.33</v>
      </c>
      <c r="Z59" s="72">
        <v>2946467722.6700001</v>
      </c>
      <c r="AA59" s="71">
        <v>14301</v>
      </c>
      <c r="AB59" s="22">
        <f t="shared" si="7"/>
        <v>206032.29</v>
      </c>
      <c r="AC59" s="9">
        <f t="shared" si="8"/>
        <v>0.74779200000000001</v>
      </c>
      <c r="AD59" s="71">
        <v>104458</v>
      </c>
      <c r="AE59" s="9">
        <f t="shared" si="9"/>
        <v>0.71866300000000005</v>
      </c>
      <c r="AF59" s="9">
        <f t="shared" si="28"/>
        <v>0.26094699999999998</v>
      </c>
      <c r="AG59" s="49">
        <f t="shared" si="10"/>
        <v>0.26094699999999998</v>
      </c>
      <c r="AH59" s="50">
        <f t="shared" si="11"/>
        <v>0</v>
      </c>
      <c r="AI59" s="51">
        <f t="shared" si="22"/>
        <v>0.26094699999999998</v>
      </c>
      <c r="AJ59">
        <v>0</v>
      </c>
      <c r="AK59">
        <v>0</v>
      </c>
      <c r="AL59" s="21">
        <f t="shared" si="23"/>
        <v>0</v>
      </c>
      <c r="AM59">
        <v>0</v>
      </c>
      <c r="AN59">
        <v>0</v>
      </c>
      <c r="AO59" s="21">
        <f t="shared" si="24"/>
        <v>0</v>
      </c>
      <c r="AP59" s="21">
        <f t="shared" si="12"/>
        <v>5898532</v>
      </c>
      <c r="AQ59" s="21">
        <f t="shared" si="25"/>
        <v>5898532</v>
      </c>
      <c r="AR59" s="48">
        <v>4646922</v>
      </c>
      <c r="AS59" s="48">
        <f t="shared" si="29"/>
        <v>5898532</v>
      </c>
      <c r="AT59" s="71">
        <v>6177563</v>
      </c>
      <c r="AU59" s="21">
        <f t="shared" si="30"/>
        <v>279031</v>
      </c>
      <c r="AV59" s="52" t="str">
        <f t="shared" si="32"/>
        <v>No</v>
      </c>
      <c r="AW59" s="48">
        <f t="shared" si="26"/>
        <v>0</v>
      </c>
      <c r="AX59" s="53">
        <f t="shared" si="27"/>
        <v>6177563</v>
      </c>
      <c r="AY59" s="54">
        <f t="shared" si="31"/>
        <v>6177563</v>
      </c>
      <c r="AZ59" s="55"/>
      <c r="BA59" s="55"/>
      <c r="BB59" s="55"/>
      <c r="BC59" s="55"/>
      <c r="BD59" s="55"/>
    </row>
    <row r="60" spans="1:56" x14ac:dyDescent="0.5">
      <c r="A60" s="5" t="s">
        <v>73</v>
      </c>
      <c r="B60" s="5">
        <v>1</v>
      </c>
      <c r="C60" s="33">
        <v>1</v>
      </c>
      <c r="D60" s="33">
        <v>1</v>
      </c>
      <c r="E60" s="33"/>
      <c r="F60" s="2">
        <v>8</v>
      </c>
      <c r="G60">
        <v>0</v>
      </c>
      <c r="H60" s="5">
        <v>34</v>
      </c>
      <c r="I60" s="2" t="s">
        <v>112</v>
      </c>
      <c r="J60" s="45"/>
      <c r="K60">
        <v>11316.64</v>
      </c>
      <c r="L60"/>
      <c r="M60">
        <v>6300</v>
      </c>
      <c r="N60" s="46">
        <f t="shared" si="13"/>
        <v>1890</v>
      </c>
      <c r="O60" s="46">
        <f t="shared" si="14"/>
        <v>6789.98</v>
      </c>
      <c r="P60" s="46">
        <f t="shared" si="15"/>
        <v>0</v>
      </c>
      <c r="Q60" s="46">
        <f t="shared" si="16"/>
        <v>0</v>
      </c>
      <c r="R60" s="47">
        <f t="shared" si="17"/>
        <v>0.56000000000000005</v>
      </c>
      <c r="S60" s="47">
        <f t="shared" si="5"/>
        <v>0</v>
      </c>
      <c r="T60" s="46">
        <f t="shared" si="6"/>
        <v>0</v>
      </c>
      <c r="U60" s="46">
        <f t="shared" si="18"/>
        <v>0</v>
      </c>
      <c r="V60">
        <v>4181</v>
      </c>
      <c r="W60" s="46">
        <f t="shared" si="19"/>
        <v>1045.25</v>
      </c>
      <c r="X60" s="22">
        <f t="shared" si="20"/>
        <v>1890</v>
      </c>
      <c r="Y60" s="10">
        <f t="shared" si="21"/>
        <v>14251.89</v>
      </c>
      <c r="Z60" s="72">
        <v>16188585645.67</v>
      </c>
      <c r="AA60" s="71">
        <v>86086</v>
      </c>
      <c r="AB60" s="22">
        <f t="shared" si="7"/>
        <v>188051.32</v>
      </c>
      <c r="AC60" s="9">
        <f t="shared" si="8"/>
        <v>0.68252999999999997</v>
      </c>
      <c r="AD60" s="71">
        <v>83422</v>
      </c>
      <c r="AE60" s="9">
        <f t="shared" si="9"/>
        <v>0.57393700000000003</v>
      </c>
      <c r="AF60" s="9">
        <f t="shared" si="28"/>
        <v>0.35004800000000003</v>
      </c>
      <c r="AG60" s="49">
        <f t="shared" si="10"/>
        <v>0.35004800000000003</v>
      </c>
      <c r="AH60" s="50">
        <f t="shared" si="11"/>
        <v>0</v>
      </c>
      <c r="AI60" s="51">
        <f t="shared" si="22"/>
        <v>0.35004800000000003</v>
      </c>
      <c r="AJ60">
        <v>0</v>
      </c>
      <c r="AK60">
        <v>0</v>
      </c>
      <c r="AL60" s="21">
        <f t="shared" si="23"/>
        <v>0</v>
      </c>
      <c r="AM60">
        <v>0</v>
      </c>
      <c r="AN60">
        <v>0</v>
      </c>
      <c r="AO60" s="21">
        <f t="shared" si="24"/>
        <v>0</v>
      </c>
      <c r="AP60" s="21">
        <f t="shared" si="12"/>
        <v>57496445</v>
      </c>
      <c r="AQ60" s="21">
        <f t="shared" si="25"/>
        <v>57496445</v>
      </c>
      <c r="AR60" s="48">
        <v>31290480</v>
      </c>
      <c r="AS60" s="48">
        <f t="shared" si="29"/>
        <v>62336919</v>
      </c>
      <c r="AT60" s="71">
        <v>62336919</v>
      </c>
      <c r="AU60" s="21">
        <f t="shared" si="30"/>
        <v>4840474</v>
      </c>
      <c r="AV60" s="52" t="str">
        <f t="shared" si="32"/>
        <v>No</v>
      </c>
      <c r="AW60" s="48">
        <f t="shared" si="26"/>
        <v>0</v>
      </c>
      <c r="AX60" s="53">
        <f t="shared" si="27"/>
        <v>62336919</v>
      </c>
      <c r="AY60" s="54">
        <f t="shared" si="31"/>
        <v>62336919</v>
      </c>
      <c r="AZ60" s="55"/>
      <c r="BA60" s="55"/>
      <c r="BB60" s="55"/>
      <c r="BC60" s="55"/>
      <c r="BD60" s="55"/>
    </row>
    <row r="61" spans="1:56" x14ac:dyDescent="0.5">
      <c r="A61" s="5" t="s">
        <v>113</v>
      </c>
      <c r="B61" s="5"/>
      <c r="C61" s="33"/>
      <c r="D61" s="33"/>
      <c r="E61" s="33"/>
      <c r="F61" s="2">
        <v>1</v>
      </c>
      <c r="G61">
        <v>0</v>
      </c>
      <c r="H61" s="5">
        <v>35</v>
      </c>
      <c r="I61" s="2" t="s">
        <v>114</v>
      </c>
      <c r="J61" s="45"/>
      <c r="K61">
        <v>4554.55</v>
      </c>
      <c r="L61"/>
      <c r="M61">
        <v>91</v>
      </c>
      <c r="N61" s="46">
        <f t="shared" si="13"/>
        <v>27.3</v>
      </c>
      <c r="O61" s="46">
        <f t="shared" si="14"/>
        <v>2732.73</v>
      </c>
      <c r="P61" s="46">
        <f t="shared" si="15"/>
        <v>0</v>
      </c>
      <c r="Q61" s="46">
        <f t="shared" si="16"/>
        <v>0</v>
      </c>
      <c r="R61" s="47">
        <f t="shared" si="17"/>
        <v>0.02</v>
      </c>
      <c r="S61" s="47">
        <f t="shared" si="5"/>
        <v>0</v>
      </c>
      <c r="T61" s="46">
        <f t="shared" si="6"/>
        <v>0</v>
      </c>
      <c r="U61" s="46">
        <f t="shared" si="18"/>
        <v>0</v>
      </c>
      <c r="V61">
        <v>67</v>
      </c>
      <c r="W61" s="46">
        <f t="shared" si="19"/>
        <v>16.75</v>
      </c>
      <c r="X61" s="22">
        <f t="shared" si="20"/>
        <v>27.3</v>
      </c>
      <c r="Y61" s="10">
        <f t="shared" si="21"/>
        <v>4598.6000000000004</v>
      </c>
      <c r="Z61" s="72">
        <v>16606236489</v>
      </c>
      <c r="AA61" s="71">
        <v>21683</v>
      </c>
      <c r="AB61" s="22">
        <f t="shared" si="7"/>
        <v>765864.34</v>
      </c>
      <c r="AC61" s="9">
        <f t="shared" si="8"/>
        <v>2.7796959999999999</v>
      </c>
      <c r="AD61" s="71">
        <v>250000</v>
      </c>
      <c r="AE61" s="9">
        <f t="shared" si="9"/>
        <v>1.719981</v>
      </c>
      <c r="AF61" s="9">
        <f t="shared" si="28"/>
        <v>-1.4617819999999999</v>
      </c>
      <c r="AG61" s="49">
        <f t="shared" si="10"/>
        <v>0.01</v>
      </c>
      <c r="AH61" s="50">
        <f t="shared" si="11"/>
        <v>0</v>
      </c>
      <c r="AI61" s="51">
        <f t="shared" si="22"/>
        <v>0.01</v>
      </c>
      <c r="AJ61">
        <v>0</v>
      </c>
      <c r="AK61">
        <v>0</v>
      </c>
      <c r="AL61" s="21">
        <f t="shared" si="23"/>
        <v>0</v>
      </c>
      <c r="AM61">
        <v>0</v>
      </c>
      <c r="AN61">
        <v>0</v>
      </c>
      <c r="AO61" s="21">
        <f t="shared" si="24"/>
        <v>0</v>
      </c>
      <c r="AP61" s="21">
        <f t="shared" si="12"/>
        <v>529989</v>
      </c>
      <c r="AQ61" s="21">
        <f t="shared" si="25"/>
        <v>529989</v>
      </c>
      <c r="AR61" s="48">
        <v>406683</v>
      </c>
      <c r="AS61" s="48">
        <f t="shared" si="29"/>
        <v>529989</v>
      </c>
      <c r="AT61" s="71">
        <v>540833</v>
      </c>
      <c r="AU61" s="21">
        <f t="shared" si="30"/>
        <v>10844</v>
      </c>
      <c r="AV61" s="52" t="str">
        <f t="shared" si="32"/>
        <v>No</v>
      </c>
      <c r="AW61" s="48">
        <f t="shared" si="26"/>
        <v>0</v>
      </c>
      <c r="AX61" s="53">
        <f t="shared" si="27"/>
        <v>540833</v>
      </c>
      <c r="AY61" s="54">
        <f t="shared" si="31"/>
        <v>540833</v>
      </c>
      <c r="AZ61" s="55"/>
      <c r="BA61" s="55"/>
      <c r="BB61" s="55"/>
      <c r="BC61" s="55"/>
      <c r="BD61" s="55"/>
    </row>
    <row r="62" spans="1:56" x14ac:dyDescent="0.5">
      <c r="A62" s="5" t="s">
        <v>75</v>
      </c>
      <c r="B62" s="5"/>
      <c r="C62" s="33"/>
      <c r="D62" s="33"/>
      <c r="E62" s="33"/>
      <c r="F62" s="2">
        <v>6</v>
      </c>
      <c r="G62">
        <v>0</v>
      </c>
      <c r="H62" s="5">
        <v>36</v>
      </c>
      <c r="I62" s="2" t="s">
        <v>115</v>
      </c>
      <c r="J62" s="45"/>
      <c r="K62">
        <v>408.38</v>
      </c>
      <c r="L62"/>
      <c r="M62">
        <v>127</v>
      </c>
      <c r="N62" s="46">
        <f t="shared" si="13"/>
        <v>38.1</v>
      </c>
      <c r="O62" s="46">
        <f t="shared" si="14"/>
        <v>245.03</v>
      </c>
      <c r="P62" s="46">
        <f t="shared" si="15"/>
        <v>0</v>
      </c>
      <c r="Q62" s="46">
        <f t="shared" si="16"/>
        <v>0</v>
      </c>
      <c r="R62" s="47">
        <f t="shared" si="17"/>
        <v>0.31</v>
      </c>
      <c r="S62" s="47">
        <f t="shared" si="5"/>
        <v>0</v>
      </c>
      <c r="T62" s="46">
        <f t="shared" si="6"/>
        <v>0</v>
      </c>
      <c r="U62" s="46">
        <f t="shared" si="18"/>
        <v>0</v>
      </c>
      <c r="V62">
        <v>13</v>
      </c>
      <c r="W62" s="46">
        <f t="shared" si="19"/>
        <v>3.25</v>
      </c>
      <c r="X62" s="22">
        <f t="shared" si="20"/>
        <v>38.1</v>
      </c>
      <c r="Y62" s="10">
        <f t="shared" si="21"/>
        <v>449.73</v>
      </c>
      <c r="Z62" s="72">
        <v>1053808056.33</v>
      </c>
      <c r="AA62" s="71">
        <v>4432</v>
      </c>
      <c r="AB62" s="22">
        <f t="shared" si="7"/>
        <v>237772.58</v>
      </c>
      <c r="AC62" s="9">
        <f t="shared" si="8"/>
        <v>0.86299300000000001</v>
      </c>
      <c r="AD62" s="71">
        <v>86995</v>
      </c>
      <c r="AE62" s="9">
        <f t="shared" si="9"/>
        <v>0.59851900000000002</v>
      </c>
      <c r="AF62" s="9">
        <f t="shared" si="28"/>
        <v>0.21634900000000001</v>
      </c>
      <c r="AG62" s="49">
        <f t="shared" si="10"/>
        <v>0.21634900000000001</v>
      </c>
      <c r="AH62" s="50">
        <f t="shared" si="11"/>
        <v>0</v>
      </c>
      <c r="AI62" s="51">
        <f t="shared" si="22"/>
        <v>0.21634900000000001</v>
      </c>
      <c r="AJ62">
        <v>199</v>
      </c>
      <c r="AK62">
        <v>6</v>
      </c>
      <c r="AL62" s="21">
        <f t="shared" si="23"/>
        <v>119400</v>
      </c>
      <c r="AM62">
        <v>0</v>
      </c>
      <c r="AN62">
        <v>0</v>
      </c>
      <c r="AO62" s="21">
        <f t="shared" si="24"/>
        <v>0</v>
      </c>
      <c r="AP62" s="21">
        <f t="shared" si="12"/>
        <v>1121367</v>
      </c>
      <c r="AQ62" s="21">
        <f t="shared" si="25"/>
        <v>1240767</v>
      </c>
      <c r="AR62" s="48">
        <v>1675092</v>
      </c>
      <c r="AS62" s="48">
        <f t="shared" si="29"/>
        <v>1240767</v>
      </c>
      <c r="AT62" s="71">
        <v>1676105</v>
      </c>
      <c r="AU62" s="21">
        <f t="shared" si="30"/>
        <v>435338</v>
      </c>
      <c r="AV62" s="52" t="str">
        <f t="shared" si="32"/>
        <v>No</v>
      </c>
      <c r="AW62" s="48">
        <f t="shared" si="26"/>
        <v>0</v>
      </c>
      <c r="AX62" s="53">
        <f t="shared" si="27"/>
        <v>1676105</v>
      </c>
      <c r="AY62" s="54">
        <f t="shared" si="31"/>
        <v>1676105</v>
      </c>
      <c r="AZ62" s="55"/>
      <c r="BA62" s="55"/>
      <c r="BB62" s="55"/>
      <c r="BC62" s="55"/>
      <c r="BD62" s="55"/>
    </row>
    <row r="63" spans="1:56" x14ac:dyDescent="0.5">
      <c r="A63" s="5" t="s">
        <v>73</v>
      </c>
      <c r="B63" s="33">
        <v>1</v>
      </c>
      <c r="C63" s="33">
        <v>1</v>
      </c>
      <c r="D63" s="33">
        <v>1</v>
      </c>
      <c r="E63" s="33"/>
      <c r="F63" s="2">
        <v>10</v>
      </c>
      <c r="G63">
        <v>9</v>
      </c>
      <c r="H63" s="5">
        <v>37</v>
      </c>
      <c r="I63" s="2" t="s">
        <v>116</v>
      </c>
      <c r="J63" s="45"/>
      <c r="K63">
        <v>1359.65</v>
      </c>
      <c r="L63"/>
      <c r="M63">
        <v>318</v>
      </c>
      <c r="N63" s="46">
        <f t="shared" si="13"/>
        <v>95.4</v>
      </c>
      <c r="O63" s="46">
        <f t="shared" si="14"/>
        <v>815.79</v>
      </c>
      <c r="P63" s="46">
        <f t="shared" si="15"/>
        <v>0</v>
      </c>
      <c r="Q63" s="46">
        <f t="shared" si="16"/>
        <v>0</v>
      </c>
      <c r="R63" s="47">
        <f t="shared" si="17"/>
        <v>0.23</v>
      </c>
      <c r="S63" s="47">
        <f t="shared" si="5"/>
        <v>0</v>
      </c>
      <c r="T63" s="46">
        <f t="shared" si="6"/>
        <v>0</v>
      </c>
      <c r="U63" s="46">
        <f t="shared" si="18"/>
        <v>0</v>
      </c>
      <c r="V63">
        <v>86</v>
      </c>
      <c r="W63" s="46">
        <f t="shared" si="19"/>
        <v>21.5</v>
      </c>
      <c r="X63" s="22">
        <f t="shared" si="20"/>
        <v>95.4</v>
      </c>
      <c r="Y63" s="10">
        <f t="shared" si="21"/>
        <v>1476.5500000000002</v>
      </c>
      <c r="Z63" s="72">
        <v>1732637875.6700001</v>
      </c>
      <c r="AA63" s="71">
        <v>12359</v>
      </c>
      <c r="AB63" s="22">
        <f t="shared" si="7"/>
        <v>140192.4</v>
      </c>
      <c r="AC63" s="9">
        <f t="shared" si="8"/>
        <v>0.50882700000000003</v>
      </c>
      <c r="AD63" s="71">
        <v>76263</v>
      </c>
      <c r="AE63" s="9">
        <f t="shared" si="9"/>
        <v>0.52468400000000004</v>
      </c>
      <c r="AF63" s="9">
        <f t="shared" si="28"/>
        <v>0.48641600000000002</v>
      </c>
      <c r="AG63" s="49">
        <f t="shared" si="10"/>
        <v>0.48641600000000002</v>
      </c>
      <c r="AH63" s="50">
        <f t="shared" si="11"/>
        <v>0.05</v>
      </c>
      <c r="AI63" s="51">
        <f t="shared" si="22"/>
        <v>0.536416</v>
      </c>
      <c r="AJ63">
        <v>0</v>
      </c>
      <c r="AK63">
        <v>0</v>
      </c>
      <c r="AL63" s="21">
        <f t="shared" si="23"/>
        <v>0</v>
      </c>
      <c r="AM63">
        <v>0</v>
      </c>
      <c r="AN63">
        <v>0</v>
      </c>
      <c r="AO63" s="21">
        <f t="shared" si="24"/>
        <v>0</v>
      </c>
      <c r="AP63" s="21">
        <f t="shared" si="12"/>
        <v>9128319</v>
      </c>
      <c r="AQ63" s="21">
        <f t="shared" si="25"/>
        <v>9128319</v>
      </c>
      <c r="AR63" s="48">
        <v>7902388</v>
      </c>
      <c r="AS63" s="48">
        <f t="shared" si="29"/>
        <v>10990454</v>
      </c>
      <c r="AT63" s="71">
        <v>10990454</v>
      </c>
      <c r="AU63" s="21">
        <f t="shared" si="30"/>
        <v>1862135</v>
      </c>
      <c r="AV63" s="52" t="str">
        <f t="shared" si="32"/>
        <v>No</v>
      </c>
      <c r="AW63" s="48">
        <f t="shared" si="26"/>
        <v>0</v>
      </c>
      <c r="AX63" s="53">
        <f t="shared" si="27"/>
        <v>10990454</v>
      </c>
      <c r="AY63" s="54">
        <f t="shared" si="31"/>
        <v>10990454</v>
      </c>
      <c r="AZ63" s="55"/>
      <c r="BA63" s="55"/>
      <c r="BB63" s="55"/>
      <c r="BC63" s="55"/>
      <c r="BD63" s="55"/>
    </row>
    <row r="64" spans="1:56" x14ac:dyDescent="0.5">
      <c r="A64" s="5" t="s">
        <v>71</v>
      </c>
      <c r="B64" s="5"/>
      <c r="C64" s="33"/>
      <c r="D64" s="33"/>
      <c r="E64" s="33"/>
      <c r="F64" s="2">
        <v>3</v>
      </c>
      <c r="G64">
        <v>0</v>
      </c>
      <c r="H64" s="5">
        <v>38</v>
      </c>
      <c r="I64" s="2" t="s">
        <v>117</v>
      </c>
      <c r="J64" s="45"/>
      <c r="K64">
        <v>853.9</v>
      </c>
      <c r="L64"/>
      <c r="M64">
        <v>130</v>
      </c>
      <c r="N64" s="46">
        <f t="shared" si="13"/>
        <v>39</v>
      </c>
      <c r="O64" s="46">
        <f t="shared" si="14"/>
        <v>512.34</v>
      </c>
      <c r="P64" s="46">
        <f t="shared" si="15"/>
        <v>0</v>
      </c>
      <c r="Q64" s="46">
        <f t="shared" si="16"/>
        <v>0</v>
      </c>
      <c r="R64" s="47">
        <f t="shared" si="17"/>
        <v>0.15</v>
      </c>
      <c r="S64" s="47">
        <f t="shared" si="5"/>
        <v>0</v>
      </c>
      <c r="T64" s="46">
        <f t="shared" si="6"/>
        <v>0</v>
      </c>
      <c r="U64" s="46">
        <f t="shared" si="18"/>
        <v>0</v>
      </c>
      <c r="V64">
        <v>12</v>
      </c>
      <c r="W64" s="46">
        <f t="shared" si="19"/>
        <v>3</v>
      </c>
      <c r="X64" s="22">
        <f t="shared" si="20"/>
        <v>39</v>
      </c>
      <c r="Y64" s="10">
        <f t="shared" si="21"/>
        <v>895.9</v>
      </c>
      <c r="Z64" s="72">
        <v>1461651741.3299999</v>
      </c>
      <c r="AA64" s="71">
        <v>7182</v>
      </c>
      <c r="AB64" s="22">
        <f t="shared" si="7"/>
        <v>203515.98</v>
      </c>
      <c r="AC64" s="9">
        <f t="shared" si="8"/>
        <v>0.73865899999999995</v>
      </c>
      <c r="AD64" s="71">
        <v>151875</v>
      </c>
      <c r="AE64" s="9">
        <f t="shared" si="9"/>
        <v>1.044888</v>
      </c>
      <c r="AF64" s="9">
        <f t="shared" si="28"/>
        <v>0.16947200000000001</v>
      </c>
      <c r="AG64" s="49">
        <f t="shared" si="10"/>
        <v>0.16947200000000001</v>
      </c>
      <c r="AH64" s="50">
        <f t="shared" si="11"/>
        <v>0</v>
      </c>
      <c r="AI64" s="51">
        <f t="shared" si="22"/>
        <v>0.16947200000000001</v>
      </c>
      <c r="AJ64">
        <v>861</v>
      </c>
      <c r="AK64">
        <v>13</v>
      </c>
      <c r="AL64" s="21">
        <f t="shared" si="23"/>
        <v>1119300</v>
      </c>
      <c r="AM64">
        <v>0</v>
      </c>
      <c r="AN64">
        <v>0</v>
      </c>
      <c r="AO64" s="21">
        <f t="shared" si="24"/>
        <v>0</v>
      </c>
      <c r="AP64" s="21">
        <f t="shared" si="12"/>
        <v>1749840</v>
      </c>
      <c r="AQ64" s="21">
        <f t="shared" si="25"/>
        <v>2869140</v>
      </c>
      <c r="AR64" s="48">
        <v>3895303</v>
      </c>
      <c r="AS64" s="48">
        <f t="shared" si="29"/>
        <v>2869140</v>
      </c>
      <c r="AT64" s="71">
        <v>3293232</v>
      </c>
      <c r="AU64" s="21">
        <f t="shared" si="30"/>
        <v>424092</v>
      </c>
      <c r="AV64" s="52" t="str">
        <f t="shared" si="32"/>
        <v>No</v>
      </c>
      <c r="AW64" s="48">
        <f t="shared" si="26"/>
        <v>0</v>
      </c>
      <c r="AX64" s="53">
        <f t="shared" si="27"/>
        <v>3293232</v>
      </c>
      <c r="AY64" s="54">
        <f t="shared" si="31"/>
        <v>3293232</v>
      </c>
      <c r="AZ64" s="55"/>
      <c r="BA64" s="55"/>
      <c r="BB64" s="55"/>
      <c r="BC64" s="55"/>
      <c r="BD64" s="55"/>
    </row>
    <row r="65" spans="1:56" x14ac:dyDescent="0.5">
      <c r="A65" s="5" t="s">
        <v>75</v>
      </c>
      <c r="B65" s="5"/>
      <c r="C65" s="33"/>
      <c r="D65" s="33"/>
      <c r="E65" s="33"/>
      <c r="F65" s="2">
        <v>7</v>
      </c>
      <c r="G65">
        <v>0</v>
      </c>
      <c r="H65" s="5">
        <v>39</v>
      </c>
      <c r="I65" s="2" t="s">
        <v>118</v>
      </c>
      <c r="J65" s="45"/>
      <c r="K65">
        <v>195.13</v>
      </c>
      <c r="L65"/>
      <c r="M65">
        <v>34</v>
      </c>
      <c r="N65" s="46">
        <f t="shared" si="13"/>
        <v>10.199999999999999</v>
      </c>
      <c r="O65" s="46">
        <f t="shared" si="14"/>
        <v>117.08</v>
      </c>
      <c r="P65" s="46">
        <f t="shared" si="15"/>
        <v>0</v>
      </c>
      <c r="Q65" s="46">
        <f t="shared" si="16"/>
        <v>0</v>
      </c>
      <c r="R65" s="47">
        <f t="shared" si="17"/>
        <v>0.17</v>
      </c>
      <c r="S65" s="47">
        <f t="shared" si="5"/>
        <v>0</v>
      </c>
      <c r="T65" s="46">
        <f t="shared" si="6"/>
        <v>0</v>
      </c>
      <c r="U65" s="46">
        <f t="shared" si="18"/>
        <v>0</v>
      </c>
      <c r="V65">
        <v>3</v>
      </c>
      <c r="W65" s="46">
        <f t="shared" si="19"/>
        <v>0.75</v>
      </c>
      <c r="X65" s="22">
        <f t="shared" si="20"/>
        <v>10.199999999999999</v>
      </c>
      <c r="Y65" s="10">
        <f t="shared" si="21"/>
        <v>206.07999999999998</v>
      </c>
      <c r="Z65" s="72">
        <v>330741432</v>
      </c>
      <c r="AA65" s="71">
        <v>1616</v>
      </c>
      <c r="AB65" s="22">
        <f t="shared" si="7"/>
        <v>204666.73</v>
      </c>
      <c r="AC65" s="9">
        <f t="shared" si="8"/>
        <v>0.74283600000000005</v>
      </c>
      <c r="AD65" s="71">
        <v>108500</v>
      </c>
      <c r="AE65" s="9">
        <f t="shared" si="9"/>
        <v>0.74647200000000002</v>
      </c>
      <c r="AF65" s="9">
        <f t="shared" si="28"/>
        <v>0.256073</v>
      </c>
      <c r="AG65" s="49">
        <f t="shared" si="10"/>
        <v>0.256073</v>
      </c>
      <c r="AH65" s="50">
        <f t="shared" si="11"/>
        <v>0</v>
      </c>
      <c r="AI65" s="51">
        <f t="shared" si="22"/>
        <v>0.256073</v>
      </c>
      <c r="AJ65">
        <v>0</v>
      </c>
      <c r="AK65">
        <v>0</v>
      </c>
      <c r="AL65" s="21">
        <f t="shared" si="23"/>
        <v>0</v>
      </c>
      <c r="AM65">
        <v>36</v>
      </c>
      <c r="AN65">
        <v>4</v>
      </c>
      <c r="AO65" s="21">
        <f t="shared" si="24"/>
        <v>14400</v>
      </c>
      <c r="AP65" s="21">
        <f t="shared" si="12"/>
        <v>608192</v>
      </c>
      <c r="AQ65" s="21">
        <f t="shared" si="25"/>
        <v>622592</v>
      </c>
      <c r="AR65" s="48">
        <v>1091881</v>
      </c>
      <c r="AS65" s="48">
        <f t="shared" si="29"/>
        <v>622592</v>
      </c>
      <c r="AT65" s="71">
        <v>947176</v>
      </c>
      <c r="AU65" s="21">
        <f t="shared" si="30"/>
        <v>324584</v>
      </c>
      <c r="AV65" s="52" t="str">
        <f t="shared" si="32"/>
        <v>No</v>
      </c>
      <c r="AW65" s="48">
        <f t="shared" si="26"/>
        <v>0</v>
      </c>
      <c r="AX65" s="53">
        <f t="shared" si="27"/>
        <v>947176</v>
      </c>
      <c r="AY65" s="54">
        <f t="shared" si="31"/>
        <v>947176</v>
      </c>
      <c r="AZ65" s="55"/>
      <c r="BA65" s="55"/>
      <c r="BB65" s="55"/>
      <c r="BC65" s="55"/>
      <c r="BD65" s="55"/>
    </row>
    <row r="66" spans="1:56" x14ac:dyDescent="0.5">
      <c r="A66" s="5" t="s">
        <v>81</v>
      </c>
      <c r="B66" s="5"/>
      <c r="C66" s="33"/>
      <c r="D66" s="33"/>
      <c r="E66" s="33"/>
      <c r="F66" s="2">
        <v>5</v>
      </c>
      <c r="G66">
        <v>0</v>
      </c>
      <c r="H66" s="5">
        <v>40</v>
      </c>
      <c r="I66" s="2" t="s">
        <v>119</v>
      </c>
      <c r="J66" s="45"/>
      <c r="K66">
        <v>860.88</v>
      </c>
      <c r="L66"/>
      <c r="M66">
        <v>123</v>
      </c>
      <c r="N66" s="46">
        <f t="shared" si="13"/>
        <v>36.9</v>
      </c>
      <c r="O66" s="46">
        <f t="shared" si="14"/>
        <v>516.53</v>
      </c>
      <c r="P66" s="46">
        <f t="shared" si="15"/>
        <v>0</v>
      </c>
      <c r="Q66" s="46">
        <f t="shared" si="16"/>
        <v>0</v>
      </c>
      <c r="R66" s="47">
        <f t="shared" si="17"/>
        <v>0.14000000000000001</v>
      </c>
      <c r="S66" s="47">
        <f t="shared" si="5"/>
        <v>0</v>
      </c>
      <c r="T66" s="46">
        <f t="shared" si="6"/>
        <v>0</v>
      </c>
      <c r="U66" s="46">
        <f t="shared" si="18"/>
        <v>0</v>
      </c>
      <c r="V66">
        <v>18</v>
      </c>
      <c r="W66" s="46">
        <f t="shared" si="19"/>
        <v>4.5</v>
      </c>
      <c r="X66" s="22">
        <f t="shared" si="20"/>
        <v>36.9</v>
      </c>
      <c r="Y66" s="10">
        <f t="shared" si="21"/>
        <v>902.28</v>
      </c>
      <c r="Z66" s="72">
        <v>1131608668.6700001</v>
      </c>
      <c r="AA66" s="71">
        <v>5214</v>
      </c>
      <c r="AB66" s="22">
        <f t="shared" si="7"/>
        <v>217032.73</v>
      </c>
      <c r="AC66" s="9">
        <f t="shared" si="8"/>
        <v>0.78771800000000003</v>
      </c>
      <c r="AD66" s="71">
        <v>123005</v>
      </c>
      <c r="AE66" s="9">
        <f t="shared" si="9"/>
        <v>0.84626500000000004</v>
      </c>
      <c r="AF66" s="9">
        <f t="shared" si="28"/>
        <v>0.194718</v>
      </c>
      <c r="AG66" s="49">
        <f t="shared" si="10"/>
        <v>0.194718</v>
      </c>
      <c r="AH66" s="50">
        <f t="shared" si="11"/>
        <v>0</v>
      </c>
      <c r="AI66" s="51">
        <f t="shared" si="22"/>
        <v>0.194718</v>
      </c>
      <c r="AJ66">
        <v>0</v>
      </c>
      <c r="AK66">
        <v>0</v>
      </c>
      <c r="AL66" s="21">
        <f t="shared" si="23"/>
        <v>0</v>
      </c>
      <c r="AM66">
        <v>0</v>
      </c>
      <c r="AN66">
        <v>0</v>
      </c>
      <c r="AO66" s="21">
        <f t="shared" si="24"/>
        <v>0</v>
      </c>
      <c r="AP66" s="21">
        <f t="shared" si="12"/>
        <v>2024829</v>
      </c>
      <c r="AQ66" s="21">
        <f t="shared" si="25"/>
        <v>2024829</v>
      </c>
      <c r="AR66" s="48">
        <v>1439845</v>
      </c>
      <c r="AS66" s="48">
        <f t="shared" si="29"/>
        <v>2024829</v>
      </c>
      <c r="AT66" s="71">
        <v>2044159</v>
      </c>
      <c r="AU66" s="21">
        <f t="shared" si="30"/>
        <v>19330</v>
      </c>
      <c r="AV66" s="52" t="str">
        <f t="shared" si="32"/>
        <v>No</v>
      </c>
      <c r="AW66" s="48">
        <f t="shared" si="26"/>
        <v>0</v>
      </c>
      <c r="AX66" s="53">
        <f t="shared" si="27"/>
        <v>2044159</v>
      </c>
      <c r="AY66" s="54">
        <f t="shared" si="31"/>
        <v>2044159</v>
      </c>
      <c r="AZ66" s="55"/>
      <c r="BA66" s="55"/>
      <c r="BB66" s="55"/>
      <c r="BC66" s="55"/>
      <c r="BD66" s="55"/>
    </row>
    <row r="67" spans="1:56" x14ac:dyDescent="0.5">
      <c r="A67" s="5" t="s">
        <v>75</v>
      </c>
      <c r="B67" s="5"/>
      <c r="C67" s="33"/>
      <c r="D67" s="33"/>
      <c r="E67" s="33"/>
      <c r="F67" s="2">
        <v>5</v>
      </c>
      <c r="G67">
        <v>0</v>
      </c>
      <c r="H67" s="5">
        <v>41</v>
      </c>
      <c r="I67" s="2" t="s">
        <v>120</v>
      </c>
      <c r="J67" s="45"/>
      <c r="K67">
        <v>933.42</v>
      </c>
      <c r="L67"/>
      <c r="M67">
        <v>246</v>
      </c>
      <c r="N67" s="46">
        <f t="shared" si="13"/>
        <v>73.8</v>
      </c>
      <c r="O67" s="46">
        <f t="shared" si="14"/>
        <v>560.04999999999995</v>
      </c>
      <c r="P67" s="46">
        <f t="shared" si="15"/>
        <v>0</v>
      </c>
      <c r="Q67" s="46">
        <f t="shared" si="16"/>
        <v>0</v>
      </c>
      <c r="R67" s="47">
        <f t="shared" si="17"/>
        <v>0.26</v>
      </c>
      <c r="S67" s="47">
        <f t="shared" si="5"/>
        <v>0</v>
      </c>
      <c r="T67" s="46">
        <f t="shared" si="6"/>
        <v>0</v>
      </c>
      <c r="U67" s="46">
        <f t="shared" si="18"/>
        <v>0</v>
      </c>
      <c r="V67">
        <v>7</v>
      </c>
      <c r="W67" s="46">
        <f t="shared" si="19"/>
        <v>1.75</v>
      </c>
      <c r="X67" s="22">
        <f t="shared" si="20"/>
        <v>73.8</v>
      </c>
      <c r="Y67" s="10">
        <f t="shared" si="21"/>
        <v>1008.9699999999999</v>
      </c>
      <c r="Z67" s="72">
        <v>1841167961.6700001</v>
      </c>
      <c r="AA67" s="71">
        <v>8934</v>
      </c>
      <c r="AB67" s="22">
        <f t="shared" si="7"/>
        <v>206085.51</v>
      </c>
      <c r="AC67" s="9">
        <f t="shared" si="8"/>
        <v>0.74798500000000001</v>
      </c>
      <c r="AD67" s="71">
        <v>105866</v>
      </c>
      <c r="AE67" s="9">
        <f t="shared" si="9"/>
        <v>0.72835000000000005</v>
      </c>
      <c r="AF67" s="9">
        <f t="shared" si="28"/>
        <v>0.25790600000000002</v>
      </c>
      <c r="AG67" s="49">
        <f t="shared" si="10"/>
        <v>0.25790600000000002</v>
      </c>
      <c r="AH67" s="50">
        <f t="shared" si="11"/>
        <v>0</v>
      </c>
      <c r="AI67" s="51">
        <f t="shared" si="22"/>
        <v>0.25790600000000002</v>
      </c>
      <c r="AJ67">
        <v>0</v>
      </c>
      <c r="AK67">
        <v>0</v>
      </c>
      <c r="AL67" s="21">
        <f t="shared" si="23"/>
        <v>0</v>
      </c>
      <c r="AM67">
        <v>0</v>
      </c>
      <c r="AN67">
        <v>0</v>
      </c>
      <c r="AO67" s="21">
        <f t="shared" si="24"/>
        <v>0</v>
      </c>
      <c r="AP67" s="21">
        <f t="shared" si="12"/>
        <v>2999029</v>
      </c>
      <c r="AQ67" s="21">
        <f t="shared" si="25"/>
        <v>2999029</v>
      </c>
      <c r="AR67" s="48">
        <v>3686134</v>
      </c>
      <c r="AS67" s="48">
        <f t="shared" si="29"/>
        <v>2999029</v>
      </c>
      <c r="AT67" s="71">
        <v>3555957</v>
      </c>
      <c r="AU67" s="21">
        <f t="shared" si="30"/>
        <v>556928</v>
      </c>
      <c r="AV67" s="52" t="str">
        <f t="shared" si="32"/>
        <v>No</v>
      </c>
      <c r="AW67" s="48">
        <f t="shared" si="26"/>
        <v>0</v>
      </c>
      <c r="AX67" s="53">
        <f t="shared" si="27"/>
        <v>3555957</v>
      </c>
      <c r="AY67" s="54">
        <f t="shared" si="31"/>
        <v>3555957</v>
      </c>
      <c r="AZ67" s="55"/>
      <c r="BA67" s="55"/>
      <c r="BB67" s="55"/>
      <c r="BC67" s="55"/>
      <c r="BD67" s="55"/>
    </row>
    <row r="68" spans="1:56" x14ac:dyDescent="0.5">
      <c r="A68" s="5" t="s">
        <v>81</v>
      </c>
      <c r="B68" s="5"/>
      <c r="C68" s="33"/>
      <c r="D68" s="33"/>
      <c r="E68" s="33"/>
      <c r="F68" s="2">
        <v>6</v>
      </c>
      <c r="G68">
        <v>0</v>
      </c>
      <c r="H68" s="5">
        <v>42</v>
      </c>
      <c r="I68" s="2" t="s">
        <v>121</v>
      </c>
      <c r="J68" s="45"/>
      <c r="K68">
        <v>1631.48</v>
      </c>
      <c r="L68"/>
      <c r="M68">
        <v>416</v>
      </c>
      <c r="N68" s="46">
        <f t="shared" si="13"/>
        <v>124.8</v>
      </c>
      <c r="O68" s="46">
        <f t="shared" si="14"/>
        <v>978.89</v>
      </c>
      <c r="P68" s="46">
        <f t="shared" si="15"/>
        <v>0</v>
      </c>
      <c r="Q68" s="46">
        <f t="shared" si="16"/>
        <v>0</v>
      </c>
      <c r="R68" s="47">
        <f t="shared" si="17"/>
        <v>0.25</v>
      </c>
      <c r="S68" s="47">
        <f t="shared" si="5"/>
        <v>0</v>
      </c>
      <c r="T68" s="46">
        <f t="shared" si="6"/>
        <v>0</v>
      </c>
      <c r="U68" s="46">
        <f t="shared" si="18"/>
        <v>0</v>
      </c>
      <c r="V68">
        <v>20</v>
      </c>
      <c r="W68" s="46">
        <f t="shared" si="19"/>
        <v>5</v>
      </c>
      <c r="X68" s="22">
        <f t="shared" si="20"/>
        <v>124.8</v>
      </c>
      <c r="Y68" s="10">
        <f t="shared" si="21"/>
        <v>1761.28</v>
      </c>
      <c r="Z68" s="72">
        <v>2444492428</v>
      </c>
      <c r="AA68" s="71">
        <v>12834</v>
      </c>
      <c r="AB68" s="22">
        <f t="shared" si="7"/>
        <v>190470.03</v>
      </c>
      <c r="AC68" s="9">
        <f t="shared" si="8"/>
        <v>0.69130899999999995</v>
      </c>
      <c r="AD68" s="71">
        <v>118775</v>
      </c>
      <c r="AE68" s="9">
        <f t="shared" si="9"/>
        <v>0.81716299999999997</v>
      </c>
      <c r="AF68" s="9">
        <f t="shared" si="28"/>
        <v>0.27093499999999998</v>
      </c>
      <c r="AG68" s="49">
        <f t="shared" si="10"/>
        <v>0.27093499999999998</v>
      </c>
      <c r="AH68" s="50">
        <f t="shared" si="11"/>
        <v>0</v>
      </c>
      <c r="AI68" s="51">
        <f t="shared" si="22"/>
        <v>0.27093499999999998</v>
      </c>
      <c r="AJ68">
        <v>0</v>
      </c>
      <c r="AK68">
        <v>0</v>
      </c>
      <c r="AL68" s="21">
        <f t="shared" si="23"/>
        <v>0</v>
      </c>
      <c r="AM68">
        <v>0</v>
      </c>
      <c r="AN68">
        <v>0</v>
      </c>
      <c r="AO68" s="21">
        <f t="shared" si="24"/>
        <v>0</v>
      </c>
      <c r="AP68" s="21">
        <f t="shared" si="12"/>
        <v>5499642</v>
      </c>
      <c r="AQ68" s="21">
        <f t="shared" si="25"/>
        <v>5499642</v>
      </c>
      <c r="AR68" s="48">
        <v>7538993</v>
      </c>
      <c r="AS68" s="48">
        <f t="shared" si="29"/>
        <v>5499642</v>
      </c>
      <c r="AT68" s="71">
        <v>6960947</v>
      </c>
      <c r="AU68" s="21">
        <f t="shared" si="30"/>
        <v>1461305</v>
      </c>
      <c r="AV68" s="52" t="str">
        <f t="shared" si="32"/>
        <v>No</v>
      </c>
      <c r="AW68" s="48">
        <f t="shared" si="26"/>
        <v>0</v>
      </c>
      <c r="AX68" s="53">
        <f t="shared" si="27"/>
        <v>6960947</v>
      </c>
      <c r="AY68" s="54">
        <f t="shared" si="31"/>
        <v>6960947</v>
      </c>
      <c r="AZ68" s="55"/>
      <c r="BA68" s="55"/>
      <c r="BB68" s="55"/>
      <c r="BC68" s="55"/>
      <c r="BD68" s="55"/>
    </row>
    <row r="69" spans="1:56" x14ac:dyDescent="0.5">
      <c r="A69" s="5" t="s">
        <v>73</v>
      </c>
      <c r="B69" s="5">
        <v>1</v>
      </c>
      <c r="C69" s="33">
        <v>1</v>
      </c>
      <c r="D69" s="33">
        <v>1</v>
      </c>
      <c r="E69" s="33">
        <v>0</v>
      </c>
      <c r="F69" s="2">
        <v>10</v>
      </c>
      <c r="G69">
        <v>4</v>
      </c>
      <c r="H69" s="5">
        <v>43</v>
      </c>
      <c r="I69" s="2" t="s">
        <v>122</v>
      </c>
      <c r="J69" s="45"/>
      <c r="K69">
        <v>7634.5</v>
      </c>
      <c r="L69"/>
      <c r="M69">
        <v>4804</v>
      </c>
      <c r="N69" s="46">
        <f t="shared" si="13"/>
        <v>1441.2</v>
      </c>
      <c r="O69" s="46">
        <f t="shared" si="14"/>
        <v>4580.7</v>
      </c>
      <c r="P69" s="46">
        <f t="shared" si="15"/>
        <v>223.30000000000018</v>
      </c>
      <c r="Q69" s="46">
        <f t="shared" si="16"/>
        <v>33.5</v>
      </c>
      <c r="R69" s="47">
        <f t="shared" si="17"/>
        <v>0.63</v>
      </c>
      <c r="S69" s="47">
        <f t="shared" si="5"/>
        <v>3.0000000000000027E-2</v>
      </c>
      <c r="T69" s="46">
        <f t="shared" si="6"/>
        <v>229.04</v>
      </c>
      <c r="U69" s="46">
        <f t="shared" si="18"/>
        <v>34.36</v>
      </c>
      <c r="V69">
        <v>1337</v>
      </c>
      <c r="W69" s="46">
        <f t="shared" si="19"/>
        <v>334.25</v>
      </c>
      <c r="X69" s="22">
        <f t="shared" si="20"/>
        <v>1441.2</v>
      </c>
      <c r="Y69" s="10">
        <f t="shared" si="21"/>
        <v>9443.4500000000007</v>
      </c>
      <c r="Z69" s="72">
        <v>5827070106.3299999</v>
      </c>
      <c r="AA69" s="71">
        <v>50798</v>
      </c>
      <c r="AB69" s="22">
        <f t="shared" si="7"/>
        <v>114710.62</v>
      </c>
      <c r="AC69" s="9">
        <f t="shared" si="8"/>
        <v>0.41634100000000002</v>
      </c>
      <c r="AD69" s="71">
        <v>66943</v>
      </c>
      <c r="AE69" s="9">
        <f t="shared" si="9"/>
        <v>0.460563</v>
      </c>
      <c r="AF69" s="9">
        <f t="shared" si="28"/>
        <v>0.57039200000000001</v>
      </c>
      <c r="AG69" s="49">
        <f t="shared" si="10"/>
        <v>0.57039200000000001</v>
      </c>
      <c r="AH69" s="50">
        <f t="shared" si="11"/>
        <v>0.06</v>
      </c>
      <c r="AI69" s="51">
        <f t="shared" si="22"/>
        <v>0.63039200000000006</v>
      </c>
      <c r="AJ69">
        <v>0</v>
      </c>
      <c r="AK69">
        <v>0</v>
      </c>
      <c r="AL69" s="21">
        <f t="shared" si="23"/>
        <v>0</v>
      </c>
      <c r="AM69">
        <v>0</v>
      </c>
      <c r="AN69">
        <v>0</v>
      </c>
      <c r="AO69" s="21">
        <f t="shared" si="24"/>
        <v>0</v>
      </c>
      <c r="AP69" s="21">
        <f t="shared" si="12"/>
        <v>68609193</v>
      </c>
      <c r="AQ69" s="21">
        <f t="shared" si="25"/>
        <v>68609193</v>
      </c>
      <c r="AR69" s="48">
        <v>49075156</v>
      </c>
      <c r="AS69" s="48">
        <f t="shared" si="29"/>
        <v>70969366</v>
      </c>
      <c r="AT69" s="71">
        <v>70969366</v>
      </c>
      <c r="AU69" s="21">
        <f t="shared" si="30"/>
        <v>2360173</v>
      </c>
      <c r="AV69" s="52" t="str">
        <f t="shared" si="32"/>
        <v>No</v>
      </c>
      <c r="AW69" s="48">
        <f t="shared" si="26"/>
        <v>0</v>
      </c>
      <c r="AX69" s="53">
        <f t="shared" si="27"/>
        <v>70969366</v>
      </c>
      <c r="AY69" s="54">
        <f t="shared" si="31"/>
        <v>70969366</v>
      </c>
      <c r="AZ69" s="55"/>
      <c r="BA69" s="55"/>
      <c r="BB69" s="55"/>
      <c r="BC69" s="55"/>
      <c r="BD69" s="55"/>
    </row>
    <row r="70" spans="1:56" x14ac:dyDescent="0.5">
      <c r="A70" s="5" t="s">
        <v>86</v>
      </c>
      <c r="B70" s="5"/>
      <c r="C70" s="33">
        <v>1</v>
      </c>
      <c r="D70" s="33">
        <v>1</v>
      </c>
      <c r="E70" s="33"/>
      <c r="F70" s="2">
        <v>9</v>
      </c>
      <c r="G70">
        <v>22</v>
      </c>
      <c r="H70" s="5">
        <v>44</v>
      </c>
      <c r="I70" s="2" t="s">
        <v>123</v>
      </c>
      <c r="J70" s="45"/>
      <c r="K70">
        <v>2909.79</v>
      </c>
      <c r="L70"/>
      <c r="M70">
        <v>1732</v>
      </c>
      <c r="N70" s="46">
        <f t="shared" si="13"/>
        <v>519.6</v>
      </c>
      <c r="O70" s="46">
        <f t="shared" si="14"/>
        <v>1745.87</v>
      </c>
      <c r="P70" s="46">
        <f t="shared" si="15"/>
        <v>0</v>
      </c>
      <c r="Q70" s="46">
        <f t="shared" si="16"/>
        <v>0</v>
      </c>
      <c r="R70" s="47">
        <f t="shared" si="17"/>
        <v>0.6</v>
      </c>
      <c r="S70" s="47">
        <f t="shared" si="5"/>
        <v>0</v>
      </c>
      <c r="T70" s="46">
        <f t="shared" si="6"/>
        <v>0</v>
      </c>
      <c r="U70" s="46">
        <f t="shared" si="18"/>
        <v>0</v>
      </c>
      <c r="V70">
        <v>427</v>
      </c>
      <c r="W70" s="46">
        <f t="shared" si="19"/>
        <v>106.75</v>
      </c>
      <c r="X70" s="22">
        <f t="shared" si="20"/>
        <v>519.6</v>
      </c>
      <c r="Y70" s="10">
        <f t="shared" si="21"/>
        <v>3536.14</v>
      </c>
      <c r="Z70" s="72">
        <v>4119819833</v>
      </c>
      <c r="AA70" s="71">
        <v>27729</v>
      </c>
      <c r="AB70" s="22">
        <f t="shared" si="7"/>
        <v>148574.41</v>
      </c>
      <c r="AC70" s="9">
        <f t="shared" si="8"/>
        <v>0.53924899999999998</v>
      </c>
      <c r="AD70" s="71">
        <v>86498</v>
      </c>
      <c r="AE70" s="9">
        <f t="shared" si="9"/>
        <v>0.59509999999999996</v>
      </c>
      <c r="AF70" s="9">
        <f t="shared" si="28"/>
        <v>0.443996</v>
      </c>
      <c r="AG70" s="49">
        <f t="shared" si="10"/>
        <v>0.443996</v>
      </c>
      <c r="AH70" s="50">
        <f t="shared" si="11"/>
        <v>0</v>
      </c>
      <c r="AI70" s="51">
        <f t="shared" si="22"/>
        <v>0.443996</v>
      </c>
      <c r="AJ70">
        <v>0</v>
      </c>
      <c r="AK70">
        <v>0</v>
      </c>
      <c r="AL70" s="21">
        <f t="shared" si="23"/>
        <v>0</v>
      </c>
      <c r="AM70">
        <v>0</v>
      </c>
      <c r="AN70">
        <v>0</v>
      </c>
      <c r="AO70" s="21">
        <f t="shared" si="24"/>
        <v>0</v>
      </c>
      <c r="AP70" s="21">
        <f t="shared" si="12"/>
        <v>18094619</v>
      </c>
      <c r="AQ70" s="21">
        <f t="shared" si="25"/>
        <v>18094619</v>
      </c>
      <c r="AR70" s="48">
        <v>19595415</v>
      </c>
      <c r="AS70" s="48">
        <f t="shared" si="29"/>
        <v>20005957</v>
      </c>
      <c r="AT70" s="71">
        <v>20005957</v>
      </c>
      <c r="AU70" s="21">
        <f t="shared" si="30"/>
        <v>1911338</v>
      </c>
      <c r="AV70" s="52" t="str">
        <f t="shared" si="32"/>
        <v>No</v>
      </c>
      <c r="AW70" s="48">
        <f t="shared" si="26"/>
        <v>0</v>
      </c>
      <c r="AX70" s="53">
        <f t="shared" si="27"/>
        <v>20005957</v>
      </c>
      <c r="AY70" s="54">
        <f t="shared" si="31"/>
        <v>20005957</v>
      </c>
      <c r="AZ70" s="55"/>
      <c r="BA70" s="55"/>
      <c r="BB70" s="55"/>
      <c r="BC70" s="55"/>
      <c r="BD70" s="55"/>
    </row>
    <row r="71" spans="1:56" x14ac:dyDescent="0.5">
      <c r="A71" s="5" t="s">
        <v>81</v>
      </c>
      <c r="B71" s="5"/>
      <c r="C71" s="33"/>
      <c r="D71" s="33"/>
      <c r="E71" s="33"/>
      <c r="F71" s="2">
        <v>4</v>
      </c>
      <c r="G71">
        <v>0</v>
      </c>
      <c r="H71" s="5">
        <v>45</v>
      </c>
      <c r="I71" s="2" t="s">
        <v>124</v>
      </c>
      <c r="J71" s="45"/>
      <c r="K71">
        <v>2321.2399999999998</v>
      </c>
      <c r="L71"/>
      <c r="M71">
        <v>617</v>
      </c>
      <c r="N71" s="46">
        <f t="shared" si="13"/>
        <v>185.1</v>
      </c>
      <c r="O71" s="46">
        <f t="shared" si="14"/>
        <v>1392.74</v>
      </c>
      <c r="P71" s="46">
        <f t="shared" si="15"/>
        <v>0</v>
      </c>
      <c r="Q71" s="46">
        <f t="shared" si="16"/>
        <v>0</v>
      </c>
      <c r="R71" s="47">
        <f t="shared" si="17"/>
        <v>0.27</v>
      </c>
      <c r="S71" s="47">
        <f t="shared" si="5"/>
        <v>0</v>
      </c>
      <c r="T71" s="46">
        <f t="shared" si="6"/>
        <v>0</v>
      </c>
      <c r="U71" s="46">
        <f t="shared" si="18"/>
        <v>0</v>
      </c>
      <c r="V71">
        <v>103</v>
      </c>
      <c r="W71" s="46">
        <f t="shared" si="19"/>
        <v>25.75</v>
      </c>
      <c r="X71" s="22">
        <f t="shared" si="20"/>
        <v>185.1</v>
      </c>
      <c r="Y71" s="10">
        <f t="shared" si="21"/>
        <v>2532.0899999999997</v>
      </c>
      <c r="Z71" s="72">
        <v>4822592319.6700001</v>
      </c>
      <c r="AA71" s="71">
        <v>18638</v>
      </c>
      <c r="AB71" s="22">
        <f t="shared" si="7"/>
        <v>258750.53</v>
      </c>
      <c r="AC71" s="9">
        <f t="shared" si="8"/>
        <v>0.93913199999999997</v>
      </c>
      <c r="AD71" s="71">
        <v>107667</v>
      </c>
      <c r="AE71" s="9">
        <f t="shared" si="9"/>
        <v>0.74074099999999998</v>
      </c>
      <c r="AF71" s="9">
        <f t="shared" si="28"/>
        <v>0.12038500000000001</v>
      </c>
      <c r="AG71" s="49">
        <f t="shared" si="10"/>
        <v>0.12038500000000001</v>
      </c>
      <c r="AH71" s="50">
        <f t="shared" si="11"/>
        <v>0</v>
      </c>
      <c r="AI71" s="51">
        <f t="shared" si="22"/>
        <v>0.12038500000000001</v>
      </c>
      <c r="AJ71">
        <v>0</v>
      </c>
      <c r="AK71">
        <v>0</v>
      </c>
      <c r="AL71" s="21">
        <f t="shared" si="23"/>
        <v>0</v>
      </c>
      <c r="AM71">
        <v>0</v>
      </c>
      <c r="AN71">
        <v>0</v>
      </c>
      <c r="AO71" s="21">
        <f t="shared" si="24"/>
        <v>0</v>
      </c>
      <c r="AP71" s="21">
        <f t="shared" si="12"/>
        <v>3513116</v>
      </c>
      <c r="AQ71" s="21">
        <f t="shared" si="25"/>
        <v>3513116</v>
      </c>
      <c r="AR71" s="48">
        <v>6918462</v>
      </c>
      <c r="AS71" s="48">
        <f t="shared" si="29"/>
        <v>3513116</v>
      </c>
      <c r="AT71" s="71">
        <v>6076507</v>
      </c>
      <c r="AU71" s="21">
        <f t="shared" si="30"/>
        <v>2563391</v>
      </c>
      <c r="AV71" s="52" t="str">
        <f t="shared" si="32"/>
        <v>No</v>
      </c>
      <c r="AW71" s="48">
        <f t="shared" si="26"/>
        <v>0</v>
      </c>
      <c r="AX71" s="53">
        <f t="shared" si="27"/>
        <v>6076507</v>
      </c>
      <c r="AY71" s="54">
        <f t="shared" si="31"/>
        <v>6076507</v>
      </c>
      <c r="AZ71" s="55"/>
      <c r="BA71" s="55"/>
      <c r="BB71" s="55"/>
      <c r="BC71" s="55"/>
      <c r="BD71" s="55"/>
    </row>
    <row r="72" spans="1:56" x14ac:dyDescent="0.5">
      <c r="A72" s="5" t="s">
        <v>113</v>
      </c>
      <c r="B72" s="5"/>
      <c r="C72" s="33"/>
      <c r="D72" s="33"/>
      <c r="E72" s="33"/>
      <c r="F72" s="2">
        <v>1</v>
      </c>
      <c r="G72">
        <v>0</v>
      </c>
      <c r="H72" s="5">
        <v>46</v>
      </c>
      <c r="I72" s="2" t="s">
        <v>125</v>
      </c>
      <c r="J72" s="45"/>
      <c r="K72">
        <v>1236.5899999999999</v>
      </c>
      <c r="L72"/>
      <c r="M72">
        <v>125</v>
      </c>
      <c r="N72" s="46">
        <f t="shared" si="13"/>
        <v>37.5</v>
      </c>
      <c r="O72" s="46">
        <f t="shared" si="14"/>
        <v>741.95</v>
      </c>
      <c r="P72" s="46">
        <f t="shared" si="15"/>
        <v>0</v>
      </c>
      <c r="Q72" s="46">
        <f t="shared" si="16"/>
        <v>0</v>
      </c>
      <c r="R72" s="47">
        <f t="shared" si="17"/>
        <v>0.1</v>
      </c>
      <c r="S72" s="47">
        <f t="shared" si="5"/>
        <v>0</v>
      </c>
      <c r="T72" s="46">
        <f t="shared" si="6"/>
        <v>0</v>
      </c>
      <c r="U72" s="46">
        <f t="shared" si="18"/>
        <v>0</v>
      </c>
      <c r="V72">
        <v>35</v>
      </c>
      <c r="W72" s="46">
        <f t="shared" si="19"/>
        <v>8.75</v>
      </c>
      <c r="X72" s="22">
        <f t="shared" si="20"/>
        <v>37.5</v>
      </c>
      <c r="Y72" s="10">
        <f t="shared" si="21"/>
        <v>1282.8399999999999</v>
      </c>
      <c r="Z72" s="72">
        <v>2527191742</v>
      </c>
      <c r="AA72" s="71">
        <v>7612</v>
      </c>
      <c r="AB72" s="22">
        <f t="shared" si="7"/>
        <v>332001.02</v>
      </c>
      <c r="AC72" s="9">
        <f t="shared" si="8"/>
        <v>1.2049939999999999</v>
      </c>
      <c r="AD72" s="71">
        <v>189505</v>
      </c>
      <c r="AE72" s="9">
        <f t="shared" si="9"/>
        <v>1.3037799999999999</v>
      </c>
      <c r="AF72" s="9">
        <f t="shared" si="28"/>
        <v>-0.23463000000000001</v>
      </c>
      <c r="AG72" s="49">
        <f t="shared" si="10"/>
        <v>0.01</v>
      </c>
      <c r="AH72" s="50">
        <f t="shared" si="11"/>
        <v>0</v>
      </c>
      <c r="AI72" s="51">
        <f t="shared" si="22"/>
        <v>0.01</v>
      </c>
      <c r="AJ72">
        <v>358</v>
      </c>
      <c r="AK72">
        <v>4</v>
      </c>
      <c r="AL72" s="21">
        <f t="shared" si="23"/>
        <v>143200</v>
      </c>
      <c r="AM72">
        <v>0</v>
      </c>
      <c r="AN72">
        <v>0</v>
      </c>
      <c r="AO72" s="21">
        <f t="shared" si="24"/>
        <v>0</v>
      </c>
      <c r="AP72" s="21">
        <f t="shared" si="12"/>
        <v>147847</v>
      </c>
      <c r="AQ72" s="21">
        <f t="shared" si="25"/>
        <v>291047</v>
      </c>
      <c r="AR72" s="48">
        <v>177907</v>
      </c>
      <c r="AS72" s="48">
        <f t="shared" si="29"/>
        <v>291047</v>
      </c>
      <c r="AT72" s="71">
        <v>302113</v>
      </c>
      <c r="AU72" s="21">
        <f t="shared" si="30"/>
        <v>11066</v>
      </c>
      <c r="AV72" s="52" t="str">
        <f t="shared" si="32"/>
        <v>No</v>
      </c>
      <c r="AW72" s="48">
        <f t="shared" si="26"/>
        <v>0</v>
      </c>
      <c r="AX72" s="53">
        <f t="shared" si="27"/>
        <v>302113</v>
      </c>
      <c r="AY72" s="54">
        <f t="shared" si="31"/>
        <v>302113</v>
      </c>
      <c r="AZ72" s="55"/>
      <c r="BA72" s="55"/>
      <c r="BB72" s="55"/>
      <c r="BC72" s="55"/>
      <c r="BD72" s="55"/>
    </row>
    <row r="73" spans="1:56" x14ac:dyDescent="0.5">
      <c r="A73" s="5" t="s">
        <v>99</v>
      </c>
      <c r="B73" s="5"/>
      <c r="C73" s="33">
        <v>1</v>
      </c>
      <c r="D73" s="33">
        <v>1</v>
      </c>
      <c r="E73" s="33"/>
      <c r="F73" s="2">
        <v>8</v>
      </c>
      <c r="G73">
        <v>37</v>
      </c>
      <c r="H73" s="5">
        <v>47</v>
      </c>
      <c r="I73" s="2" t="s">
        <v>126</v>
      </c>
      <c r="J73" s="45"/>
      <c r="K73">
        <v>1042.69</v>
      </c>
      <c r="L73"/>
      <c r="M73">
        <v>545</v>
      </c>
      <c r="N73" s="46">
        <f t="shared" si="13"/>
        <v>163.5</v>
      </c>
      <c r="O73" s="46">
        <f t="shared" si="14"/>
        <v>625.61</v>
      </c>
      <c r="P73" s="46">
        <f t="shared" si="15"/>
        <v>0</v>
      </c>
      <c r="Q73" s="46">
        <f t="shared" si="16"/>
        <v>0</v>
      </c>
      <c r="R73" s="47">
        <f t="shared" si="17"/>
        <v>0.52</v>
      </c>
      <c r="S73" s="47">
        <f t="shared" si="5"/>
        <v>0</v>
      </c>
      <c r="T73" s="46">
        <f t="shared" si="6"/>
        <v>0</v>
      </c>
      <c r="U73" s="46">
        <f t="shared" si="18"/>
        <v>0</v>
      </c>
      <c r="V73">
        <v>61</v>
      </c>
      <c r="W73" s="46">
        <f t="shared" si="19"/>
        <v>15.25</v>
      </c>
      <c r="X73" s="22">
        <f t="shared" si="20"/>
        <v>163.5</v>
      </c>
      <c r="Y73" s="10">
        <f t="shared" si="21"/>
        <v>1221.44</v>
      </c>
      <c r="Z73" s="72">
        <v>2034570222.6700001</v>
      </c>
      <c r="AA73" s="71">
        <v>11157</v>
      </c>
      <c r="AB73" s="22">
        <f t="shared" si="7"/>
        <v>182358.18</v>
      </c>
      <c r="AC73" s="9">
        <f t="shared" si="8"/>
        <v>0.66186699999999998</v>
      </c>
      <c r="AD73" s="71">
        <v>95264</v>
      </c>
      <c r="AE73" s="9">
        <f t="shared" si="9"/>
        <v>0.65540900000000002</v>
      </c>
      <c r="AF73" s="9">
        <f t="shared" si="28"/>
        <v>0.34006999999999998</v>
      </c>
      <c r="AG73" s="49">
        <f t="shared" si="10"/>
        <v>0.34006999999999998</v>
      </c>
      <c r="AH73" s="50">
        <f t="shared" si="11"/>
        <v>0</v>
      </c>
      <c r="AI73" s="51">
        <f t="shared" si="22"/>
        <v>0.34006999999999998</v>
      </c>
      <c r="AJ73">
        <v>0</v>
      </c>
      <c r="AK73">
        <v>0</v>
      </c>
      <c r="AL73" s="21">
        <f t="shared" si="23"/>
        <v>0</v>
      </c>
      <c r="AM73">
        <v>0</v>
      </c>
      <c r="AN73">
        <v>0</v>
      </c>
      <c r="AO73" s="21">
        <f t="shared" si="24"/>
        <v>0</v>
      </c>
      <c r="AP73" s="21">
        <f t="shared" si="12"/>
        <v>4787198</v>
      </c>
      <c r="AQ73" s="21">
        <f t="shared" si="25"/>
        <v>4787198</v>
      </c>
      <c r="AR73" s="48">
        <v>5669122</v>
      </c>
      <c r="AS73" s="48">
        <f t="shared" si="29"/>
        <v>5669122</v>
      </c>
      <c r="AT73" s="71">
        <v>5669122</v>
      </c>
      <c r="AU73" s="21">
        <f t="shared" si="30"/>
        <v>881924</v>
      </c>
      <c r="AV73" s="52" t="str">
        <f t="shared" si="32"/>
        <v>No</v>
      </c>
      <c r="AW73" s="48">
        <f t="shared" si="26"/>
        <v>0</v>
      </c>
      <c r="AX73" s="53">
        <f t="shared" si="27"/>
        <v>5669122</v>
      </c>
      <c r="AY73" s="54">
        <f t="shared" si="31"/>
        <v>5669122</v>
      </c>
      <c r="AZ73" s="55"/>
      <c r="BA73" s="55"/>
      <c r="BB73" s="55"/>
      <c r="BC73" s="55"/>
      <c r="BD73" s="55"/>
    </row>
    <row r="74" spans="1:56" x14ac:dyDescent="0.5">
      <c r="A74" s="5" t="s">
        <v>71</v>
      </c>
      <c r="B74" s="5"/>
      <c r="C74" s="33"/>
      <c r="D74" s="33"/>
      <c r="E74" s="33"/>
      <c r="F74" s="2">
        <v>7</v>
      </c>
      <c r="G74">
        <v>0</v>
      </c>
      <c r="H74" s="5">
        <v>48</v>
      </c>
      <c r="I74" s="2" t="s">
        <v>127</v>
      </c>
      <c r="J74" s="45"/>
      <c r="K74">
        <v>2457.6999999999998</v>
      </c>
      <c r="L74"/>
      <c r="M74">
        <v>503</v>
      </c>
      <c r="N74" s="46">
        <f t="shared" si="13"/>
        <v>150.9</v>
      </c>
      <c r="O74" s="46">
        <f t="shared" si="14"/>
        <v>1474.62</v>
      </c>
      <c r="P74" s="46">
        <f t="shared" si="15"/>
        <v>0</v>
      </c>
      <c r="Q74" s="46">
        <f t="shared" si="16"/>
        <v>0</v>
      </c>
      <c r="R74" s="47">
        <f t="shared" si="17"/>
        <v>0.2</v>
      </c>
      <c r="S74" s="47">
        <f t="shared" si="5"/>
        <v>0</v>
      </c>
      <c r="T74" s="46">
        <f t="shared" si="6"/>
        <v>0</v>
      </c>
      <c r="U74" s="46">
        <f t="shared" si="18"/>
        <v>0</v>
      </c>
      <c r="V74">
        <v>48</v>
      </c>
      <c r="W74" s="46">
        <f t="shared" si="19"/>
        <v>12</v>
      </c>
      <c r="X74" s="22">
        <f t="shared" si="20"/>
        <v>150.9</v>
      </c>
      <c r="Y74" s="10">
        <f t="shared" si="21"/>
        <v>2620.6</v>
      </c>
      <c r="Z74" s="72">
        <v>2974178764.3299999</v>
      </c>
      <c r="AA74" s="71">
        <v>16700</v>
      </c>
      <c r="AB74" s="22">
        <f t="shared" si="7"/>
        <v>178094.54</v>
      </c>
      <c r="AC74" s="9">
        <f t="shared" si="8"/>
        <v>0.64639199999999997</v>
      </c>
      <c r="AD74" s="71">
        <v>125797</v>
      </c>
      <c r="AE74" s="9">
        <f t="shared" si="9"/>
        <v>0.86547399999999997</v>
      </c>
      <c r="AF74" s="9">
        <f t="shared" si="28"/>
        <v>0.287883</v>
      </c>
      <c r="AG74" s="49">
        <f t="shared" si="10"/>
        <v>0.287883</v>
      </c>
      <c r="AH74" s="50">
        <f t="shared" si="11"/>
        <v>0</v>
      </c>
      <c r="AI74" s="51">
        <f t="shared" si="22"/>
        <v>0.287883</v>
      </c>
      <c r="AJ74">
        <v>0</v>
      </c>
      <c r="AK74">
        <v>0</v>
      </c>
      <c r="AL74" s="21">
        <f t="shared" si="23"/>
        <v>0</v>
      </c>
      <c r="AM74">
        <v>0</v>
      </c>
      <c r="AN74">
        <v>0</v>
      </c>
      <c r="AO74" s="21">
        <f t="shared" si="24"/>
        <v>0</v>
      </c>
      <c r="AP74" s="21">
        <f t="shared" si="12"/>
        <v>8694762</v>
      </c>
      <c r="AQ74" s="21">
        <f t="shared" si="25"/>
        <v>8694762</v>
      </c>
      <c r="AR74" s="48">
        <v>9684435</v>
      </c>
      <c r="AS74" s="48">
        <f t="shared" si="29"/>
        <v>8694762</v>
      </c>
      <c r="AT74" s="71">
        <v>10341646</v>
      </c>
      <c r="AU74" s="21">
        <f t="shared" si="30"/>
        <v>1646884</v>
      </c>
      <c r="AV74" s="52" t="str">
        <f t="shared" si="32"/>
        <v>No</v>
      </c>
      <c r="AW74" s="48">
        <f t="shared" si="26"/>
        <v>0</v>
      </c>
      <c r="AX74" s="53">
        <f t="shared" si="27"/>
        <v>10341646</v>
      </c>
      <c r="AY74" s="54">
        <f t="shared" si="31"/>
        <v>10341646</v>
      </c>
      <c r="AZ74" s="55"/>
      <c r="BA74" s="55"/>
      <c r="BB74" s="55"/>
      <c r="BC74" s="55"/>
      <c r="BD74" s="55"/>
    </row>
    <row r="75" spans="1:56" x14ac:dyDescent="0.5">
      <c r="A75" s="5" t="s">
        <v>99</v>
      </c>
      <c r="B75" s="5"/>
      <c r="C75" s="57">
        <v>1</v>
      </c>
      <c r="D75" s="57">
        <v>1</v>
      </c>
      <c r="E75" s="33"/>
      <c r="F75" s="2">
        <v>9</v>
      </c>
      <c r="G75">
        <v>31</v>
      </c>
      <c r="H75" s="5">
        <v>49</v>
      </c>
      <c r="I75" s="2" t="s">
        <v>128</v>
      </c>
      <c r="J75" s="45"/>
      <c r="K75">
        <v>4760.3599999999997</v>
      </c>
      <c r="L75"/>
      <c r="M75">
        <v>2236</v>
      </c>
      <c r="N75" s="46">
        <f t="shared" si="13"/>
        <v>670.8</v>
      </c>
      <c r="O75" s="46">
        <f t="shared" si="14"/>
        <v>2856.22</v>
      </c>
      <c r="P75" s="46">
        <f t="shared" si="15"/>
        <v>0</v>
      </c>
      <c r="Q75" s="46">
        <f t="shared" si="16"/>
        <v>0</v>
      </c>
      <c r="R75" s="47">
        <f t="shared" si="17"/>
        <v>0.47</v>
      </c>
      <c r="S75" s="47">
        <f t="shared" si="5"/>
        <v>0</v>
      </c>
      <c r="T75" s="46">
        <f t="shared" si="6"/>
        <v>0</v>
      </c>
      <c r="U75" s="46">
        <f t="shared" si="18"/>
        <v>0</v>
      </c>
      <c r="V75">
        <v>207</v>
      </c>
      <c r="W75" s="46">
        <f t="shared" si="19"/>
        <v>51.75</v>
      </c>
      <c r="X75" s="22">
        <f t="shared" si="20"/>
        <v>670.8</v>
      </c>
      <c r="Y75" s="10">
        <f t="shared" si="21"/>
        <v>5482.91</v>
      </c>
      <c r="Z75" s="72">
        <v>6180339378.3299999</v>
      </c>
      <c r="AA75" s="71">
        <v>41100</v>
      </c>
      <c r="AB75" s="22">
        <f t="shared" si="7"/>
        <v>150373.22</v>
      </c>
      <c r="AC75" s="9">
        <f t="shared" si="8"/>
        <v>0.54577799999999999</v>
      </c>
      <c r="AD75" s="71">
        <v>91141</v>
      </c>
      <c r="AE75" s="9">
        <f t="shared" si="9"/>
        <v>0.62704300000000002</v>
      </c>
      <c r="AF75" s="9">
        <f t="shared" si="28"/>
        <v>0.42984299999999998</v>
      </c>
      <c r="AG75" s="49">
        <f t="shared" si="10"/>
        <v>0.42984299999999998</v>
      </c>
      <c r="AH75" s="50">
        <f t="shared" si="11"/>
        <v>0</v>
      </c>
      <c r="AI75" s="51">
        <f t="shared" si="22"/>
        <v>0.42984299999999998</v>
      </c>
      <c r="AJ75">
        <v>0</v>
      </c>
      <c r="AK75">
        <v>0</v>
      </c>
      <c r="AL75" s="21">
        <f t="shared" si="23"/>
        <v>0</v>
      </c>
      <c r="AM75">
        <v>0</v>
      </c>
      <c r="AN75">
        <v>0</v>
      </c>
      <c r="AO75" s="21">
        <f t="shared" si="24"/>
        <v>0</v>
      </c>
      <c r="AP75" s="21">
        <f t="shared" si="12"/>
        <v>27162010</v>
      </c>
      <c r="AQ75" s="21">
        <f t="shared" si="25"/>
        <v>27162010</v>
      </c>
      <c r="AR75" s="48">
        <v>28585010</v>
      </c>
      <c r="AS75" s="48">
        <f t="shared" si="29"/>
        <v>29823645</v>
      </c>
      <c r="AT75" s="71">
        <v>29823645</v>
      </c>
      <c r="AU75" s="21">
        <f t="shared" si="30"/>
        <v>2661635</v>
      </c>
      <c r="AV75" s="52" t="str">
        <f t="shared" si="32"/>
        <v>No</v>
      </c>
      <c r="AW75" s="48">
        <f t="shared" si="26"/>
        <v>0</v>
      </c>
      <c r="AX75" s="53">
        <f t="shared" si="27"/>
        <v>29823645</v>
      </c>
      <c r="AY75" s="54">
        <f t="shared" si="31"/>
        <v>29823645</v>
      </c>
      <c r="AZ75" s="55"/>
      <c r="BA75" s="55"/>
      <c r="BB75" s="55"/>
      <c r="BC75" s="55"/>
      <c r="BD75" s="55"/>
    </row>
    <row r="76" spans="1:56" x14ac:dyDescent="0.5">
      <c r="A76" s="5" t="s">
        <v>71</v>
      </c>
      <c r="B76" s="5"/>
      <c r="C76" s="33"/>
      <c r="D76" s="33"/>
      <c r="E76" s="33"/>
      <c r="F76" s="2">
        <v>2</v>
      </c>
      <c r="G76">
        <v>0</v>
      </c>
      <c r="H76" s="5">
        <v>50</v>
      </c>
      <c r="I76" s="2" t="s">
        <v>129</v>
      </c>
      <c r="J76" s="45"/>
      <c r="K76">
        <v>510.89</v>
      </c>
      <c r="L76"/>
      <c r="M76">
        <v>121</v>
      </c>
      <c r="N76" s="46">
        <f t="shared" si="13"/>
        <v>36.299999999999997</v>
      </c>
      <c r="O76" s="46">
        <f t="shared" si="14"/>
        <v>306.52999999999997</v>
      </c>
      <c r="P76" s="46">
        <f t="shared" si="15"/>
        <v>0</v>
      </c>
      <c r="Q76" s="46">
        <f t="shared" si="16"/>
        <v>0</v>
      </c>
      <c r="R76" s="47">
        <f t="shared" si="17"/>
        <v>0.24</v>
      </c>
      <c r="S76" s="47">
        <f t="shared" si="5"/>
        <v>0</v>
      </c>
      <c r="T76" s="46">
        <f t="shared" si="6"/>
        <v>0</v>
      </c>
      <c r="U76" s="46">
        <f t="shared" si="18"/>
        <v>0</v>
      </c>
      <c r="V76">
        <v>17</v>
      </c>
      <c r="W76" s="46">
        <f t="shared" si="19"/>
        <v>4.25</v>
      </c>
      <c r="X76" s="22">
        <f t="shared" si="20"/>
        <v>36.299999999999997</v>
      </c>
      <c r="Y76" s="10">
        <f t="shared" si="21"/>
        <v>551.43999999999994</v>
      </c>
      <c r="Z76" s="72">
        <v>2242439008</v>
      </c>
      <c r="AA76" s="71">
        <v>6766</v>
      </c>
      <c r="AB76" s="22">
        <f t="shared" si="7"/>
        <v>331427.58</v>
      </c>
      <c r="AC76" s="9">
        <f t="shared" si="8"/>
        <v>1.2029129999999999</v>
      </c>
      <c r="AD76" s="71">
        <v>100767</v>
      </c>
      <c r="AE76" s="9">
        <f t="shared" si="9"/>
        <v>0.69326900000000002</v>
      </c>
      <c r="AF76" s="9">
        <f t="shared" si="28"/>
        <v>-5.0020000000000002E-2</v>
      </c>
      <c r="AG76" s="49">
        <f t="shared" si="10"/>
        <v>0.01</v>
      </c>
      <c r="AH76" s="50">
        <f t="shared" si="11"/>
        <v>0</v>
      </c>
      <c r="AI76" s="51">
        <f t="shared" si="22"/>
        <v>0.01</v>
      </c>
      <c r="AJ76">
        <v>246</v>
      </c>
      <c r="AK76">
        <v>6</v>
      </c>
      <c r="AL76" s="21">
        <f t="shared" si="23"/>
        <v>147600</v>
      </c>
      <c r="AM76">
        <v>0</v>
      </c>
      <c r="AN76">
        <v>0</v>
      </c>
      <c r="AO76" s="21">
        <f t="shared" si="24"/>
        <v>0</v>
      </c>
      <c r="AP76" s="21">
        <f t="shared" si="12"/>
        <v>63553</v>
      </c>
      <c r="AQ76" s="21">
        <f t="shared" si="25"/>
        <v>211153</v>
      </c>
      <c r="AR76" s="48">
        <v>105052</v>
      </c>
      <c r="AS76" s="48">
        <f t="shared" si="29"/>
        <v>211153</v>
      </c>
      <c r="AT76" s="71">
        <v>215553</v>
      </c>
      <c r="AU76" s="21">
        <f t="shared" si="30"/>
        <v>4400</v>
      </c>
      <c r="AV76" s="52" t="str">
        <f t="shared" si="32"/>
        <v>No</v>
      </c>
      <c r="AW76" s="48">
        <f t="shared" si="26"/>
        <v>0</v>
      </c>
      <c r="AX76" s="53">
        <f t="shared" si="27"/>
        <v>215553</v>
      </c>
      <c r="AY76" s="54">
        <f t="shared" si="31"/>
        <v>215553</v>
      </c>
      <c r="AZ76" s="55"/>
      <c r="BA76" s="55"/>
      <c r="BB76" s="55"/>
      <c r="BC76" s="55"/>
      <c r="BD76" s="55"/>
    </row>
    <row r="77" spans="1:56" x14ac:dyDescent="0.5">
      <c r="A77" s="5" t="s">
        <v>77</v>
      </c>
      <c r="B77" s="5"/>
      <c r="C77" s="33"/>
      <c r="D77" s="33"/>
      <c r="E77" s="33"/>
      <c r="F77" s="2">
        <v>2</v>
      </c>
      <c r="G77">
        <v>0</v>
      </c>
      <c r="H77" s="5">
        <v>51</v>
      </c>
      <c r="I77" s="2" t="s">
        <v>130</v>
      </c>
      <c r="J77" s="45"/>
      <c r="K77">
        <v>9030.48</v>
      </c>
      <c r="L77"/>
      <c r="M77">
        <v>1572</v>
      </c>
      <c r="N77" s="46">
        <f t="shared" si="13"/>
        <v>471.6</v>
      </c>
      <c r="O77" s="46">
        <f t="shared" si="14"/>
        <v>5418.29</v>
      </c>
      <c r="P77" s="46">
        <f t="shared" si="15"/>
        <v>0</v>
      </c>
      <c r="Q77" s="46">
        <f t="shared" si="16"/>
        <v>0</v>
      </c>
      <c r="R77" s="47">
        <f t="shared" si="17"/>
        <v>0.17</v>
      </c>
      <c r="S77" s="47">
        <f t="shared" si="5"/>
        <v>0</v>
      </c>
      <c r="T77" s="46">
        <f t="shared" si="6"/>
        <v>0</v>
      </c>
      <c r="U77" s="46">
        <f t="shared" si="18"/>
        <v>0</v>
      </c>
      <c r="V77">
        <v>311</v>
      </c>
      <c r="W77" s="46">
        <f t="shared" si="19"/>
        <v>77.75</v>
      </c>
      <c r="X77" s="22">
        <f t="shared" si="20"/>
        <v>471.6</v>
      </c>
      <c r="Y77" s="10">
        <f t="shared" si="21"/>
        <v>9579.83</v>
      </c>
      <c r="Z77" s="72">
        <v>22526002916.669998</v>
      </c>
      <c r="AA77" s="71">
        <v>62508</v>
      </c>
      <c r="AB77" s="22">
        <f t="shared" si="7"/>
        <v>360369.91999999998</v>
      </c>
      <c r="AC77" s="9">
        <f t="shared" si="8"/>
        <v>1.3079590000000001</v>
      </c>
      <c r="AD77" s="71">
        <v>168391</v>
      </c>
      <c r="AE77" s="9">
        <f t="shared" si="9"/>
        <v>1.158517</v>
      </c>
      <c r="AF77" s="9">
        <f t="shared" si="28"/>
        <v>-0.26312600000000003</v>
      </c>
      <c r="AG77" s="49">
        <f t="shared" si="10"/>
        <v>0.01</v>
      </c>
      <c r="AH77" s="50">
        <f t="shared" si="11"/>
        <v>0</v>
      </c>
      <c r="AI77" s="51">
        <f t="shared" si="22"/>
        <v>0.01</v>
      </c>
      <c r="AJ77">
        <v>0</v>
      </c>
      <c r="AK77">
        <v>0</v>
      </c>
      <c r="AL77" s="21">
        <f t="shared" si="23"/>
        <v>0</v>
      </c>
      <c r="AM77">
        <v>0</v>
      </c>
      <c r="AN77">
        <v>0</v>
      </c>
      <c r="AO77" s="21">
        <f t="shared" si="24"/>
        <v>0</v>
      </c>
      <c r="AP77" s="21">
        <f t="shared" si="12"/>
        <v>1104075</v>
      </c>
      <c r="AQ77" s="21">
        <f t="shared" si="25"/>
        <v>1104075</v>
      </c>
      <c r="AR77" s="48">
        <v>1087165</v>
      </c>
      <c r="AS77" s="48">
        <f t="shared" si="29"/>
        <v>1104075</v>
      </c>
      <c r="AT77" s="71">
        <v>1131021</v>
      </c>
      <c r="AU77" s="21">
        <f t="shared" si="30"/>
        <v>26946</v>
      </c>
      <c r="AV77" s="52" t="str">
        <f t="shared" si="32"/>
        <v>No</v>
      </c>
      <c r="AW77" s="48">
        <f t="shared" si="26"/>
        <v>0</v>
      </c>
      <c r="AX77" s="53">
        <f t="shared" si="27"/>
        <v>1131021</v>
      </c>
      <c r="AY77" s="54">
        <f t="shared" si="31"/>
        <v>1131021</v>
      </c>
      <c r="AZ77" s="55"/>
      <c r="BA77" s="55"/>
      <c r="BB77" s="55"/>
      <c r="BC77" s="55"/>
      <c r="BD77" s="55"/>
    </row>
    <row r="78" spans="1:56" x14ac:dyDescent="0.5">
      <c r="A78" s="5" t="s">
        <v>77</v>
      </c>
      <c r="B78" s="5"/>
      <c r="C78" s="33"/>
      <c r="D78" s="33"/>
      <c r="E78" s="33"/>
      <c r="F78" s="2">
        <v>3</v>
      </c>
      <c r="G78">
        <v>0</v>
      </c>
      <c r="H78" s="5">
        <v>52</v>
      </c>
      <c r="I78" s="2" t="s">
        <v>131</v>
      </c>
      <c r="J78" s="45"/>
      <c r="K78">
        <v>4042.58</v>
      </c>
      <c r="L78"/>
      <c r="M78">
        <v>711</v>
      </c>
      <c r="N78" s="46">
        <f t="shared" si="13"/>
        <v>213.3</v>
      </c>
      <c r="O78" s="46">
        <f t="shared" si="14"/>
        <v>2425.5500000000002</v>
      </c>
      <c r="P78" s="46">
        <f t="shared" si="15"/>
        <v>0</v>
      </c>
      <c r="Q78" s="46">
        <f t="shared" si="16"/>
        <v>0</v>
      </c>
      <c r="R78" s="47">
        <f t="shared" si="17"/>
        <v>0.18</v>
      </c>
      <c r="S78" s="47">
        <f t="shared" si="5"/>
        <v>0</v>
      </c>
      <c r="T78" s="46">
        <f t="shared" si="6"/>
        <v>0</v>
      </c>
      <c r="U78" s="46">
        <f t="shared" si="18"/>
        <v>0</v>
      </c>
      <c r="V78">
        <v>204</v>
      </c>
      <c r="W78" s="46">
        <f t="shared" si="19"/>
        <v>51</v>
      </c>
      <c r="X78" s="22">
        <f t="shared" si="20"/>
        <v>213.3</v>
      </c>
      <c r="Y78" s="10">
        <f t="shared" si="21"/>
        <v>4306.88</v>
      </c>
      <c r="Z78" s="72">
        <v>7098019545.6700001</v>
      </c>
      <c r="AA78" s="71">
        <v>26685</v>
      </c>
      <c r="AB78" s="22">
        <f t="shared" si="7"/>
        <v>265992.86</v>
      </c>
      <c r="AC78" s="9">
        <f t="shared" si="8"/>
        <v>0.965418</v>
      </c>
      <c r="AD78" s="71">
        <v>134237</v>
      </c>
      <c r="AE78" s="9">
        <f t="shared" si="9"/>
        <v>0.92354000000000003</v>
      </c>
      <c r="AF78" s="9">
        <f t="shared" si="28"/>
        <v>4.7144999999999999E-2</v>
      </c>
      <c r="AG78" s="49">
        <f t="shared" si="10"/>
        <v>4.7144999999999999E-2</v>
      </c>
      <c r="AH78" s="50">
        <f t="shared" si="11"/>
        <v>0</v>
      </c>
      <c r="AI78" s="51">
        <f t="shared" si="22"/>
        <v>4.7144999999999999E-2</v>
      </c>
      <c r="AJ78">
        <v>0</v>
      </c>
      <c r="AK78">
        <v>0</v>
      </c>
      <c r="AL78" s="21">
        <f t="shared" si="23"/>
        <v>0</v>
      </c>
      <c r="AM78">
        <v>0</v>
      </c>
      <c r="AN78">
        <v>0</v>
      </c>
      <c r="AO78" s="21">
        <f t="shared" si="24"/>
        <v>0</v>
      </c>
      <c r="AP78" s="21">
        <f t="shared" si="12"/>
        <v>2340127</v>
      </c>
      <c r="AQ78" s="21">
        <f t="shared" si="25"/>
        <v>2340127</v>
      </c>
      <c r="AR78" s="48">
        <v>1095080</v>
      </c>
      <c r="AS78" s="48">
        <f t="shared" si="29"/>
        <v>2340127</v>
      </c>
      <c r="AT78" s="71">
        <v>3707985</v>
      </c>
      <c r="AU78" s="21">
        <f t="shared" si="30"/>
        <v>1367858</v>
      </c>
      <c r="AV78" s="52" t="str">
        <f t="shared" si="32"/>
        <v>No</v>
      </c>
      <c r="AW78" s="48">
        <f t="shared" si="26"/>
        <v>0</v>
      </c>
      <c r="AX78" s="53">
        <f t="shared" si="27"/>
        <v>3707985</v>
      </c>
      <c r="AY78" s="54">
        <f t="shared" si="31"/>
        <v>3707985</v>
      </c>
      <c r="AZ78" s="55"/>
      <c r="BA78" s="55"/>
      <c r="BB78" s="55"/>
      <c r="BC78" s="55"/>
      <c r="BD78" s="55"/>
    </row>
    <row r="79" spans="1:56" x14ac:dyDescent="0.5">
      <c r="A79" s="5" t="s">
        <v>75</v>
      </c>
      <c r="B79" s="5"/>
      <c r="C79" s="33"/>
      <c r="D79" s="33"/>
      <c r="E79" s="33"/>
      <c r="F79" s="2">
        <v>5</v>
      </c>
      <c r="G79">
        <v>0</v>
      </c>
      <c r="H79" s="5">
        <v>53</v>
      </c>
      <c r="I79" s="2" t="s">
        <v>132</v>
      </c>
      <c r="J79" s="45"/>
      <c r="K79">
        <v>257.60000000000002</v>
      </c>
      <c r="L79"/>
      <c r="M79">
        <v>55</v>
      </c>
      <c r="N79" s="46">
        <f t="shared" si="13"/>
        <v>16.5</v>
      </c>
      <c r="O79" s="46">
        <f t="shared" si="14"/>
        <v>154.56</v>
      </c>
      <c r="P79" s="46">
        <f t="shared" si="15"/>
        <v>0</v>
      </c>
      <c r="Q79" s="46">
        <f t="shared" si="16"/>
        <v>0</v>
      </c>
      <c r="R79" s="47">
        <f t="shared" si="17"/>
        <v>0.21</v>
      </c>
      <c r="S79" s="47">
        <f t="shared" si="5"/>
        <v>0</v>
      </c>
      <c r="T79" s="46">
        <f t="shared" si="6"/>
        <v>0</v>
      </c>
      <c r="U79" s="46">
        <f t="shared" si="18"/>
        <v>0</v>
      </c>
      <c r="V79">
        <v>1</v>
      </c>
      <c r="W79" s="46">
        <f t="shared" si="19"/>
        <v>0.25</v>
      </c>
      <c r="X79" s="22">
        <f t="shared" si="20"/>
        <v>16.5</v>
      </c>
      <c r="Y79" s="10">
        <f t="shared" si="21"/>
        <v>274.35000000000002</v>
      </c>
      <c r="Z79" s="72">
        <v>460390842.32999998</v>
      </c>
      <c r="AA79" s="71">
        <v>1925</v>
      </c>
      <c r="AB79" s="22">
        <f t="shared" si="7"/>
        <v>239164.07</v>
      </c>
      <c r="AC79" s="9">
        <f t="shared" si="8"/>
        <v>0.86804300000000001</v>
      </c>
      <c r="AD79" s="71">
        <v>100179</v>
      </c>
      <c r="AE79" s="9">
        <f t="shared" si="9"/>
        <v>0.68922399999999995</v>
      </c>
      <c r="AF79" s="9">
        <f t="shared" si="28"/>
        <v>0.18560299999999999</v>
      </c>
      <c r="AG79" s="49">
        <f t="shared" si="10"/>
        <v>0.18560299999999999</v>
      </c>
      <c r="AH79" s="50">
        <f t="shared" si="11"/>
        <v>0</v>
      </c>
      <c r="AI79" s="51">
        <f t="shared" si="22"/>
        <v>0.18560299999999999</v>
      </c>
      <c r="AJ79">
        <v>0</v>
      </c>
      <c r="AK79">
        <v>0</v>
      </c>
      <c r="AL79" s="21">
        <f t="shared" si="23"/>
        <v>0</v>
      </c>
      <c r="AM79">
        <v>47</v>
      </c>
      <c r="AN79">
        <v>4</v>
      </c>
      <c r="AO79" s="21">
        <f t="shared" si="24"/>
        <v>18800</v>
      </c>
      <c r="AP79" s="21">
        <f t="shared" si="12"/>
        <v>586855</v>
      </c>
      <c r="AQ79" s="21">
        <f t="shared" si="25"/>
        <v>605655</v>
      </c>
      <c r="AR79" s="48">
        <v>923278</v>
      </c>
      <c r="AS79" s="48">
        <f t="shared" si="29"/>
        <v>605655</v>
      </c>
      <c r="AT79" s="71">
        <v>736256</v>
      </c>
      <c r="AU79" s="21">
        <f t="shared" si="30"/>
        <v>130601</v>
      </c>
      <c r="AV79" s="52" t="str">
        <f t="shared" si="32"/>
        <v>No</v>
      </c>
      <c r="AW79" s="48">
        <f t="shared" si="26"/>
        <v>0</v>
      </c>
      <c r="AX79" s="53">
        <f t="shared" si="27"/>
        <v>736256</v>
      </c>
      <c r="AY79" s="54">
        <f t="shared" si="31"/>
        <v>736256</v>
      </c>
      <c r="AZ79" s="55"/>
      <c r="BA79" s="55"/>
      <c r="BB79" s="55"/>
      <c r="BC79" s="55"/>
      <c r="BD79" s="55"/>
    </row>
    <row r="80" spans="1:56" x14ac:dyDescent="0.5">
      <c r="A80" s="5" t="s">
        <v>77</v>
      </c>
      <c r="B80" s="5"/>
      <c r="C80" s="33"/>
      <c r="D80" s="33"/>
      <c r="E80" s="33"/>
      <c r="F80" s="2">
        <v>3</v>
      </c>
      <c r="G80">
        <v>0</v>
      </c>
      <c r="H80" s="5">
        <v>54</v>
      </c>
      <c r="I80" s="2" t="s">
        <v>133</v>
      </c>
      <c r="J80" s="45"/>
      <c r="K80">
        <v>5575.2</v>
      </c>
      <c r="L80"/>
      <c r="M80">
        <v>829</v>
      </c>
      <c r="N80" s="46">
        <f t="shared" si="13"/>
        <v>248.7</v>
      </c>
      <c r="O80" s="46">
        <f t="shared" si="14"/>
        <v>3345.12</v>
      </c>
      <c r="P80" s="46">
        <f t="shared" si="15"/>
        <v>0</v>
      </c>
      <c r="Q80" s="46">
        <f t="shared" si="16"/>
        <v>0</v>
      </c>
      <c r="R80" s="47">
        <f t="shared" si="17"/>
        <v>0.15</v>
      </c>
      <c r="S80" s="47">
        <f t="shared" si="5"/>
        <v>0</v>
      </c>
      <c r="T80" s="46">
        <f t="shared" si="6"/>
        <v>0</v>
      </c>
      <c r="U80" s="46">
        <f t="shared" si="18"/>
        <v>0</v>
      </c>
      <c r="V80">
        <v>200</v>
      </c>
      <c r="W80" s="46">
        <f t="shared" si="19"/>
        <v>50</v>
      </c>
      <c r="X80" s="22">
        <f t="shared" si="20"/>
        <v>248.7</v>
      </c>
      <c r="Y80" s="10">
        <f t="shared" si="21"/>
        <v>5873.9</v>
      </c>
      <c r="Z80" s="72">
        <v>8491851489.3299999</v>
      </c>
      <c r="AA80" s="71">
        <v>35136</v>
      </c>
      <c r="AB80" s="22">
        <f t="shared" si="7"/>
        <v>241685.21</v>
      </c>
      <c r="AC80" s="9">
        <f t="shared" si="8"/>
        <v>0.87719400000000003</v>
      </c>
      <c r="AD80" s="71">
        <v>150290</v>
      </c>
      <c r="AE80" s="9">
        <f t="shared" si="9"/>
        <v>1.033984</v>
      </c>
      <c r="AF80" s="9">
        <f t="shared" si="28"/>
        <v>7.5769000000000003E-2</v>
      </c>
      <c r="AG80" s="49">
        <f t="shared" si="10"/>
        <v>7.5769000000000003E-2</v>
      </c>
      <c r="AH80" s="50">
        <f t="shared" si="11"/>
        <v>0</v>
      </c>
      <c r="AI80" s="51">
        <f t="shared" si="22"/>
        <v>7.5769000000000003E-2</v>
      </c>
      <c r="AJ80">
        <v>0</v>
      </c>
      <c r="AK80">
        <v>0</v>
      </c>
      <c r="AL80" s="21">
        <f t="shared" si="23"/>
        <v>0</v>
      </c>
      <c r="AM80">
        <v>0</v>
      </c>
      <c r="AN80">
        <v>0</v>
      </c>
      <c r="AO80" s="21">
        <f t="shared" si="24"/>
        <v>0</v>
      </c>
      <c r="AP80" s="21">
        <f t="shared" si="12"/>
        <v>5129311</v>
      </c>
      <c r="AQ80" s="21">
        <f t="shared" si="25"/>
        <v>5129311</v>
      </c>
      <c r="AR80" s="48">
        <v>6654380</v>
      </c>
      <c r="AS80" s="48">
        <f t="shared" si="29"/>
        <v>5129311</v>
      </c>
      <c r="AT80" s="71">
        <v>6717318</v>
      </c>
      <c r="AU80" s="21">
        <f t="shared" si="30"/>
        <v>1588007</v>
      </c>
      <c r="AV80" s="52" t="str">
        <f t="shared" si="32"/>
        <v>No</v>
      </c>
      <c r="AW80" s="48">
        <f t="shared" si="26"/>
        <v>0</v>
      </c>
      <c r="AX80" s="53">
        <f t="shared" si="27"/>
        <v>6717318</v>
      </c>
      <c r="AY80" s="54">
        <f t="shared" si="31"/>
        <v>6717318</v>
      </c>
      <c r="AZ80" s="55"/>
      <c r="BA80" s="55"/>
      <c r="BB80" s="55"/>
      <c r="BC80" s="55"/>
      <c r="BD80" s="55"/>
    </row>
    <row r="81" spans="1:56" x14ac:dyDescent="0.5">
      <c r="A81" s="5" t="s">
        <v>75</v>
      </c>
      <c r="B81" s="5"/>
      <c r="C81" s="33"/>
      <c r="D81" s="33"/>
      <c r="E81" s="33"/>
      <c r="F81" s="2">
        <v>2</v>
      </c>
      <c r="G81">
        <v>0</v>
      </c>
      <c r="H81" s="5">
        <v>55</v>
      </c>
      <c r="I81" s="2" t="s">
        <v>134</v>
      </c>
      <c r="J81" s="45"/>
      <c r="K81">
        <v>284.12</v>
      </c>
      <c r="L81"/>
      <c r="M81">
        <v>72</v>
      </c>
      <c r="N81" s="46">
        <f t="shared" si="13"/>
        <v>21.6</v>
      </c>
      <c r="O81" s="46">
        <f t="shared" si="14"/>
        <v>170.47</v>
      </c>
      <c r="P81" s="46">
        <f t="shared" si="15"/>
        <v>0</v>
      </c>
      <c r="Q81" s="46">
        <f t="shared" si="16"/>
        <v>0</v>
      </c>
      <c r="R81" s="47">
        <f t="shared" si="17"/>
        <v>0.25</v>
      </c>
      <c r="S81" s="47">
        <f t="shared" si="5"/>
        <v>0</v>
      </c>
      <c r="T81" s="46">
        <f t="shared" si="6"/>
        <v>0</v>
      </c>
      <c r="U81" s="46">
        <f t="shared" si="18"/>
        <v>0</v>
      </c>
      <c r="V81">
        <v>4</v>
      </c>
      <c r="W81" s="46">
        <f t="shared" si="19"/>
        <v>1</v>
      </c>
      <c r="X81" s="22">
        <f t="shared" si="20"/>
        <v>21.6</v>
      </c>
      <c r="Y81" s="10">
        <f t="shared" si="21"/>
        <v>306.72000000000003</v>
      </c>
      <c r="Z81" s="72">
        <v>1144322515.3299999</v>
      </c>
      <c r="AA81" s="71">
        <v>3181</v>
      </c>
      <c r="AB81" s="22">
        <f t="shared" si="7"/>
        <v>359736.72</v>
      </c>
      <c r="AC81" s="9">
        <f t="shared" si="8"/>
        <v>1.305661</v>
      </c>
      <c r="AD81" s="71">
        <v>161354</v>
      </c>
      <c r="AE81" s="9">
        <f t="shared" si="9"/>
        <v>1.1101030000000001</v>
      </c>
      <c r="AF81" s="9">
        <f t="shared" si="28"/>
        <v>-0.24699399999999999</v>
      </c>
      <c r="AG81" s="49">
        <f t="shared" si="10"/>
        <v>0.01</v>
      </c>
      <c r="AH81" s="50">
        <f t="shared" si="11"/>
        <v>0</v>
      </c>
      <c r="AI81" s="51">
        <f t="shared" si="22"/>
        <v>0.01</v>
      </c>
      <c r="AJ81">
        <v>283</v>
      </c>
      <c r="AK81">
        <v>13</v>
      </c>
      <c r="AL81" s="21">
        <f t="shared" si="23"/>
        <v>367900</v>
      </c>
      <c r="AM81">
        <v>0</v>
      </c>
      <c r="AN81">
        <v>0</v>
      </c>
      <c r="AO81" s="21">
        <f t="shared" si="24"/>
        <v>0</v>
      </c>
      <c r="AP81" s="21">
        <f t="shared" si="12"/>
        <v>35349</v>
      </c>
      <c r="AQ81" s="21">
        <f t="shared" si="25"/>
        <v>403249</v>
      </c>
      <c r="AR81" s="48">
        <v>82025</v>
      </c>
      <c r="AS81" s="48">
        <f t="shared" si="29"/>
        <v>403249</v>
      </c>
      <c r="AT81" s="71">
        <v>400335</v>
      </c>
      <c r="AU81" s="21">
        <f t="shared" si="30"/>
        <v>2914</v>
      </c>
      <c r="AV81" s="52" t="str">
        <f t="shared" si="32"/>
        <v>Yes</v>
      </c>
      <c r="AW81" s="48">
        <f t="shared" si="26"/>
        <v>2914</v>
      </c>
      <c r="AX81" s="53">
        <f t="shared" si="27"/>
        <v>403249</v>
      </c>
      <c r="AY81" s="54">
        <f t="shared" si="31"/>
        <v>403249</v>
      </c>
      <c r="AZ81" s="55"/>
      <c r="BA81" s="55"/>
      <c r="BB81" s="55"/>
      <c r="BC81" s="55"/>
      <c r="BD81" s="55"/>
    </row>
    <row r="82" spans="1:56" x14ac:dyDescent="0.5">
      <c r="A82" s="5" t="s">
        <v>77</v>
      </c>
      <c r="B82" s="5"/>
      <c r="C82" s="33"/>
      <c r="D82" s="33"/>
      <c r="E82" s="33"/>
      <c r="F82" s="2">
        <v>5</v>
      </c>
      <c r="G82">
        <v>0</v>
      </c>
      <c r="H82" s="5">
        <v>56</v>
      </c>
      <c r="I82" s="2" t="s">
        <v>135</v>
      </c>
      <c r="J82" s="45"/>
      <c r="K82">
        <v>1657.62</v>
      </c>
      <c r="L82"/>
      <c r="M82">
        <v>238</v>
      </c>
      <c r="N82" s="46">
        <f t="shared" si="13"/>
        <v>71.400000000000006</v>
      </c>
      <c r="O82" s="46">
        <f t="shared" si="14"/>
        <v>994.57</v>
      </c>
      <c r="P82" s="46">
        <f t="shared" si="15"/>
        <v>0</v>
      </c>
      <c r="Q82" s="46">
        <f t="shared" si="16"/>
        <v>0</v>
      </c>
      <c r="R82" s="47">
        <f t="shared" si="17"/>
        <v>0.14000000000000001</v>
      </c>
      <c r="S82" s="47">
        <f t="shared" si="5"/>
        <v>0</v>
      </c>
      <c r="T82" s="46">
        <f t="shared" si="6"/>
        <v>0</v>
      </c>
      <c r="U82" s="46">
        <f t="shared" si="18"/>
        <v>0</v>
      </c>
      <c r="V82">
        <v>13</v>
      </c>
      <c r="W82" s="46">
        <f t="shared" si="19"/>
        <v>3.25</v>
      </c>
      <c r="X82" s="22">
        <f t="shared" si="20"/>
        <v>71.400000000000006</v>
      </c>
      <c r="Y82" s="10">
        <f t="shared" si="21"/>
        <v>1732.27</v>
      </c>
      <c r="Z82" s="72">
        <v>2118142741.6700001</v>
      </c>
      <c r="AA82" s="71">
        <v>11020</v>
      </c>
      <c r="AB82" s="22">
        <f t="shared" si="7"/>
        <v>192208.96</v>
      </c>
      <c r="AC82" s="9">
        <f t="shared" si="8"/>
        <v>0.69762000000000002</v>
      </c>
      <c r="AD82" s="71">
        <v>117476</v>
      </c>
      <c r="AE82" s="9">
        <f t="shared" si="9"/>
        <v>0.808226</v>
      </c>
      <c r="AF82" s="9">
        <f t="shared" si="28"/>
        <v>0.26919799999999999</v>
      </c>
      <c r="AG82" s="49">
        <f t="shared" si="10"/>
        <v>0.26919799999999999</v>
      </c>
      <c r="AH82" s="50">
        <f t="shared" si="11"/>
        <v>0</v>
      </c>
      <c r="AI82" s="51">
        <f t="shared" si="22"/>
        <v>0.26919799999999999</v>
      </c>
      <c r="AJ82">
        <v>0</v>
      </c>
      <c r="AK82">
        <v>0</v>
      </c>
      <c r="AL82" s="21">
        <f t="shared" si="23"/>
        <v>0</v>
      </c>
      <c r="AM82">
        <v>0</v>
      </c>
      <c r="AN82">
        <v>0</v>
      </c>
      <c r="AO82" s="21">
        <f t="shared" si="24"/>
        <v>0</v>
      </c>
      <c r="AP82" s="21">
        <f t="shared" si="12"/>
        <v>5374380</v>
      </c>
      <c r="AQ82" s="21">
        <f t="shared" si="25"/>
        <v>5374380</v>
      </c>
      <c r="AR82" s="48">
        <v>5510220</v>
      </c>
      <c r="AS82" s="48">
        <f t="shared" si="29"/>
        <v>5374380</v>
      </c>
      <c r="AT82" s="71">
        <v>5447238</v>
      </c>
      <c r="AU82" s="21">
        <f t="shared" si="30"/>
        <v>72858</v>
      </c>
      <c r="AV82" s="52" t="str">
        <f t="shared" si="32"/>
        <v>No</v>
      </c>
      <c r="AW82" s="48">
        <f t="shared" si="26"/>
        <v>0</v>
      </c>
      <c r="AX82" s="53">
        <f t="shared" si="27"/>
        <v>5447238</v>
      </c>
      <c r="AY82" s="54">
        <f t="shared" si="31"/>
        <v>5447238</v>
      </c>
      <c r="AZ82" s="55"/>
      <c r="BA82" s="55"/>
      <c r="BB82" s="55"/>
      <c r="BC82" s="55"/>
      <c r="BD82" s="55"/>
    </row>
    <row r="83" spans="1:56" x14ac:dyDescent="0.5">
      <c r="A83" s="5" t="s">
        <v>77</v>
      </c>
      <c r="B83" s="5"/>
      <c r="C83" s="33"/>
      <c r="D83" s="33"/>
      <c r="E83" s="33"/>
      <c r="F83" s="2">
        <v>1</v>
      </c>
      <c r="G83">
        <v>0</v>
      </c>
      <c r="H83" s="5">
        <v>57</v>
      </c>
      <c r="I83" s="2" t="s">
        <v>136</v>
      </c>
      <c r="J83" s="45"/>
      <c r="K83">
        <v>8056.44</v>
      </c>
      <c r="L83"/>
      <c r="M83">
        <v>1578</v>
      </c>
      <c r="N83" s="46">
        <f t="shared" si="13"/>
        <v>473.4</v>
      </c>
      <c r="O83" s="46">
        <f t="shared" si="14"/>
        <v>4833.8599999999997</v>
      </c>
      <c r="P83" s="46">
        <f t="shared" si="15"/>
        <v>0</v>
      </c>
      <c r="Q83" s="46">
        <f t="shared" si="16"/>
        <v>0</v>
      </c>
      <c r="R83" s="47">
        <f t="shared" si="17"/>
        <v>0.2</v>
      </c>
      <c r="S83" s="47">
        <f t="shared" si="5"/>
        <v>0</v>
      </c>
      <c r="T83" s="46">
        <f t="shared" si="6"/>
        <v>0</v>
      </c>
      <c r="U83" s="46">
        <f t="shared" si="18"/>
        <v>0</v>
      </c>
      <c r="V83">
        <v>397</v>
      </c>
      <c r="W83" s="46">
        <f t="shared" si="19"/>
        <v>99.25</v>
      </c>
      <c r="X83" s="22">
        <f t="shared" si="20"/>
        <v>473.4</v>
      </c>
      <c r="Y83" s="10">
        <f t="shared" si="21"/>
        <v>8629.09</v>
      </c>
      <c r="Z83" s="72">
        <v>61250431640</v>
      </c>
      <c r="AA83" s="71">
        <v>63505</v>
      </c>
      <c r="AB83" s="22">
        <f t="shared" si="7"/>
        <v>964497.78</v>
      </c>
      <c r="AC83" s="9">
        <f t="shared" si="8"/>
        <v>3.5006339999999998</v>
      </c>
      <c r="AD83" s="71">
        <v>198458</v>
      </c>
      <c r="AE83" s="9">
        <f t="shared" si="9"/>
        <v>1.3653759999999999</v>
      </c>
      <c r="AF83" s="9">
        <f t="shared" si="28"/>
        <v>-1.8600570000000001</v>
      </c>
      <c r="AG83" s="49">
        <f t="shared" si="10"/>
        <v>0.01</v>
      </c>
      <c r="AH83" s="50">
        <f t="shared" si="11"/>
        <v>0</v>
      </c>
      <c r="AI83" s="51">
        <f t="shared" si="22"/>
        <v>0.01</v>
      </c>
      <c r="AJ83">
        <v>0</v>
      </c>
      <c r="AK83">
        <v>0</v>
      </c>
      <c r="AL83" s="21">
        <f t="shared" si="23"/>
        <v>0</v>
      </c>
      <c r="AM83">
        <v>0</v>
      </c>
      <c r="AN83">
        <v>0</v>
      </c>
      <c r="AO83" s="21">
        <f t="shared" si="24"/>
        <v>0</v>
      </c>
      <c r="AP83" s="21">
        <f t="shared" si="12"/>
        <v>994503</v>
      </c>
      <c r="AQ83" s="21">
        <f t="shared" si="25"/>
        <v>994503</v>
      </c>
      <c r="AR83" s="48">
        <v>136859</v>
      </c>
      <c r="AS83" s="48">
        <f t="shared" si="29"/>
        <v>994503</v>
      </c>
      <c r="AT83" s="71">
        <v>1019227</v>
      </c>
      <c r="AU83" s="21">
        <f t="shared" si="30"/>
        <v>24724</v>
      </c>
      <c r="AV83" s="52" t="str">
        <f t="shared" si="32"/>
        <v>No</v>
      </c>
      <c r="AW83" s="48">
        <f t="shared" si="26"/>
        <v>0</v>
      </c>
      <c r="AX83" s="53">
        <f t="shared" si="27"/>
        <v>1019227</v>
      </c>
      <c r="AY83" s="54">
        <f t="shared" si="31"/>
        <v>1019227</v>
      </c>
      <c r="AZ83" s="55"/>
      <c r="BA83" s="55"/>
      <c r="BB83" s="55"/>
      <c r="BC83" s="55"/>
      <c r="BD83" s="55"/>
    </row>
    <row r="84" spans="1:56" x14ac:dyDescent="0.5">
      <c r="A84" s="5" t="s">
        <v>99</v>
      </c>
      <c r="B84" s="5"/>
      <c r="C84" s="33"/>
      <c r="D84" s="33"/>
      <c r="E84" s="33"/>
      <c r="F84" s="2">
        <v>9</v>
      </c>
      <c r="G84">
        <v>36</v>
      </c>
      <c r="H84" s="5">
        <v>58</v>
      </c>
      <c r="I84" s="2" t="s">
        <v>137</v>
      </c>
      <c r="J84" s="45"/>
      <c r="K84">
        <v>1588.52</v>
      </c>
      <c r="L84"/>
      <c r="M84">
        <v>861</v>
      </c>
      <c r="N84" s="46">
        <f t="shared" si="13"/>
        <v>258.3</v>
      </c>
      <c r="O84" s="46">
        <f t="shared" si="14"/>
        <v>953.11</v>
      </c>
      <c r="P84" s="46">
        <f t="shared" si="15"/>
        <v>0</v>
      </c>
      <c r="Q84" s="46">
        <f t="shared" si="16"/>
        <v>0</v>
      </c>
      <c r="R84" s="47">
        <f t="shared" si="17"/>
        <v>0.54</v>
      </c>
      <c r="S84" s="47">
        <f t="shared" si="5"/>
        <v>0</v>
      </c>
      <c r="T84" s="46">
        <f t="shared" si="6"/>
        <v>0</v>
      </c>
      <c r="U84" s="46">
        <f t="shared" si="18"/>
        <v>0</v>
      </c>
      <c r="V84">
        <v>24</v>
      </c>
      <c r="W84" s="46">
        <f t="shared" si="19"/>
        <v>6</v>
      </c>
      <c r="X84" s="22">
        <f t="shared" si="20"/>
        <v>258.3</v>
      </c>
      <c r="Y84" s="10">
        <f t="shared" si="21"/>
        <v>1852.82</v>
      </c>
      <c r="Z84" s="72">
        <v>1593629393.6700001</v>
      </c>
      <c r="AA84" s="71">
        <v>11484</v>
      </c>
      <c r="AB84" s="22">
        <f t="shared" si="7"/>
        <v>138769.54</v>
      </c>
      <c r="AC84" s="9">
        <f t="shared" si="8"/>
        <v>0.50366299999999997</v>
      </c>
      <c r="AD84" s="71">
        <v>80694</v>
      </c>
      <c r="AE84" s="9">
        <f t="shared" si="9"/>
        <v>0.55516900000000002</v>
      </c>
      <c r="AF84" s="9">
        <f t="shared" si="28"/>
        <v>0.48088500000000001</v>
      </c>
      <c r="AG84" s="49">
        <f t="shared" si="10"/>
        <v>0.48088500000000001</v>
      </c>
      <c r="AH84" s="50">
        <f t="shared" si="11"/>
        <v>0</v>
      </c>
      <c r="AI84" s="51">
        <f t="shared" si="22"/>
        <v>0.48088500000000001</v>
      </c>
      <c r="AJ84">
        <v>0</v>
      </c>
      <c r="AK84">
        <v>0</v>
      </c>
      <c r="AL84" s="21">
        <f t="shared" si="23"/>
        <v>0</v>
      </c>
      <c r="AM84">
        <v>1</v>
      </c>
      <c r="AN84">
        <v>4</v>
      </c>
      <c r="AO84" s="21">
        <f t="shared" si="24"/>
        <v>400</v>
      </c>
      <c r="AP84" s="21">
        <f t="shared" si="12"/>
        <v>10268698</v>
      </c>
      <c r="AQ84" s="21">
        <f t="shared" si="25"/>
        <v>10269098</v>
      </c>
      <c r="AR84" s="48">
        <v>10775767</v>
      </c>
      <c r="AS84" s="48">
        <f t="shared" si="29"/>
        <v>10269098</v>
      </c>
      <c r="AT84" s="71">
        <v>10925151</v>
      </c>
      <c r="AU84" s="21">
        <f t="shared" si="30"/>
        <v>656053</v>
      </c>
      <c r="AV84" s="52" t="str">
        <f t="shared" si="32"/>
        <v>No</v>
      </c>
      <c r="AW84" s="48">
        <f t="shared" si="26"/>
        <v>0</v>
      </c>
      <c r="AX84" s="53">
        <f t="shared" si="27"/>
        <v>10925151</v>
      </c>
      <c r="AY84" s="54">
        <f t="shared" si="31"/>
        <v>10925151</v>
      </c>
      <c r="AZ84" s="55"/>
      <c r="BA84" s="55"/>
      <c r="BB84" s="55"/>
      <c r="BC84" s="55"/>
      <c r="BD84" s="55"/>
    </row>
    <row r="85" spans="1:56" x14ac:dyDescent="0.5">
      <c r="A85" s="5" t="s">
        <v>86</v>
      </c>
      <c r="B85" s="5"/>
      <c r="C85" s="57">
        <v>1</v>
      </c>
      <c r="D85" s="57">
        <v>1</v>
      </c>
      <c r="E85" s="33"/>
      <c r="F85" s="2">
        <v>8</v>
      </c>
      <c r="G85">
        <v>0</v>
      </c>
      <c r="H85" s="5">
        <v>59</v>
      </c>
      <c r="I85" s="2" t="s">
        <v>138</v>
      </c>
      <c r="J85" s="45"/>
      <c r="K85">
        <v>4144.78</v>
      </c>
      <c r="L85"/>
      <c r="M85">
        <v>1986</v>
      </c>
      <c r="N85" s="46">
        <f t="shared" si="13"/>
        <v>595.79999999999995</v>
      </c>
      <c r="O85" s="46">
        <f t="shared" si="14"/>
        <v>2486.87</v>
      </c>
      <c r="P85" s="46">
        <f t="shared" si="15"/>
        <v>0</v>
      </c>
      <c r="Q85" s="46">
        <f t="shared" si="16"/>
        <v>0</v>
      </c>
      <c r="R85" s="47">
        <f t="shared" si="17"/>
        <v>0.48</v>
      </c>
      <c r="S85" s="47">
        <f t="shared" si="5"/>
        <v>0</v>
      </c>
      <c r="T85" s="46">
        <f t="shared" si="6"/>
        <v>0</v>
      </c>
      <c r="U85" s="46">
        <f t="shared" si="18"/>
        <v>0</v>
      </c>
      <c r="V85">
        <v>198</v>
      </c>
      <c r="W85" s="46">
        <f t="shared" si="19"/>
        <v>49.5</v>
      </c>
      <c r="X85" s="22">
        <f t="shared" si="20"/>
        <v>595.79999999999995</v>
      </c>
      <c r="Y85" s="10">
        <f t="shared" si="21"/>
        <v>4790.08</v>
      </c>
      <c r="Z85" s="72">
        <v>8418061572</v>
      </c>
      <c r="AA85" s="71">
        <v>38086</v>
      </c>
      <c r="AB85" s="22">
        <f t="shared" si="7"/>
        <v>221027.72</v>
      </c>
      <c r="AC85" s="9">
        <f t="shared" si="8"/>
        <v>0.80221799999999999</v>
      </c>
      <c r="AD85" s="71">
        <v>83547</v>
      </c>
      <c r="AE85" s="9">
        <f t="shared" si="9"/>
        <v>0.574797</v>
      </c>
      <c r="AF85" s="9">
        <f t="shared" si="28"/>
        <v>0.26600800000000002</v>
      </c>
      <c r="AG85" s="49">
        <f t="shared" si="10"/>
        <v>0.26600800000000002</v>
      </c>
      <c r="AH85" s="50">
        <f t="shared" si="11"/>
        <v>0</v>
      </c>
      <c r="AI85" s="51">
        <f t="shared" si="22"/>
        <v>0.26600800000000002</v>
      </c>
      <c r="AJ85">
        <v>0</v>
      </c>
      <c r="AK85">
        <v>0</v>
      </c>
      <c r="AL85" s="21">
        <f t="shared" si="23"/>
        <v>0</v>
      </c>
      <c r="AM85">
        <v>0</v>
      </c>
      <c r="AN85">
        <v>0</v>
      </c>
      <c r="AO85" s="21">
        <f t="shared" si="24"/>
        <v>0</v>
      </c>
      <c r="AP85" s="21">
        <f t="shared" si="12"/>
        <v>14685150</v>
      </c>
      <c r="AQ85" s="21">
        <f t="shared" si="25"/>
        <v>14685150</v>
      </c>
      <c r="AR85" s="48">
        <v>25040045</v>
      </c>
      <c r="AS85" s="48">
        <f t="shared" si="29"/>
        <v>25040045</v>
      </c>
      <c r="AT85" s="71">
        <v>25040045</v>
      </c>
      <c r="AU85" s="21">
        <f t="shared" si="30"/>
        <v>10354895</v>
      </c>
      <c r="AV85" s="52" t="str">
        <f t="shared" si="32"/>
        <v>No</v>
      </c>
      <c r="AW85" s="48">
        <f t="shared" si="26"/>
        <v>0</v>
      </c>
      <c r="AX85" s="53">
        <f t="shared" si="27"/>
        <v>25040045</v>
      </c>
      <c r="AY85" s="54">
        <f t="shared" si="31"/>
        <v>25040045</v>
      </c>
      <c r="AZ85" s="55"/>
      <c r="BA85" s="55"/>
      <c r="BB85" s="55"/>
      <c r="BC85" s="55"/>
      <c r="BD85" s="55"/>
    </row>
    <row r="86" spans="1:56" x14ac:dyDescent="0.5">
      <c r="A86" s="5" t="s">
        <v>77</v>
      </c>
      <c r="B86" s="5"/>
      <c r="C86" s="33"/>
      <c r="D86" s="33"/>
      <c r="E86" s="33"/>
      <c r="F86" s="2">
        <v>2</v>
      </c>
      <c r="G86">
        <v>0</v>
      </c>
      <c r="H86" s="5">
        <v>60</v>
      </c>
      <c r="I86" s="2" t="s">
        <v>139</v>
      </c>
      <c r="J86" s="45"/>
      <c r="K86">
        <v>2970.24</v>
      </c>
      <c r="L86"/>
      <c r="M86">
        <v>388</v>
      </c>
      <c r="N86" s="46">
        <f t="shared" si="13"/>
        <v>116.4</v>
      </c>
      <c r="O86" s="46">
        <f t="shared" si="14"/>
        <v>1782.14</v>
      </c>
      <c r="P86" s="46">
        <f t="shared" si="15"/>
        <v>0</v>
      </c>
      <c r="Q86" s="46">
        <f t="shared" si="16"/>
        <v>0</v>
      </c>
      <c r="R86" s="47">
        <f t="shared" si="17"/>
        <v>0.13</v>
      </c>
      <c r="S86" s="47">
        <f t="shared" si="5"/>
        <v>0</v>
      </c>
      <c r="T86" s="46">
        <f t="shared" si="6"/>
        <v>0</v>
      </c>
      <c r="U86" s="46">
        <f t="shared" si="18"/>
        <v>0</v>
      </c>
      <c r="V86">
        <v>46</v>
      </c>
      <c r="W86" s="46">
        <f t="shared" si="19"/>
        <v>11.5</v>
      </c>
      <c r="X86" s="22">
        <f t="shared" si="20"/>
        <v>116.4</v>
      </c>
      <c r="Y86" s="10">
        <f t="shared" si="21"/>
        <v>3098.14</v>
      </c>
      <c r="Z86" s="72">
        <v>6403466343</v>
      </c>
      <c r="AA86" s="71">
        <v>22037</v>
      </c>
      <c r="AB86" s="22">
        <f t="shared" si="7"/>
        <v>290577.95</v>
      </c>
      <c r="AC86" s="9">
        <f t="shared" si="8"/>
        <v>1.0546500000000001</v>
      </c>
      <c r="AD86" s="71">
        <v>130036</v>
      </c>
      <c r="AE86" s="9">
        <f t="shared" si="9"/>
        <v>0.89463800000000004</v>
      </c>
      <c r="AF86" s="9">
        <f t="shared" si="28"/>
        <v>-6.646E-3</v>
      </c>
      <c r="AG86" s="49">
        <f t="shared" si="10"/>
        <v>0.01</v>
      </c>
      <c r="AH86" s="50">
        <f t="shared" si="11"/>
        <v>0</v>
      </c>
      <c r="AI86" s="51">
        <f t="shared" si="22"/>
        <v>0.01</v>
      </c>
      <c r="AJ86">
        <v>0</v>
      </c>
      <c r="AK86">
        <v>0</v>
      </c>
      <c r="AL86" s="21">
        <f t="shared" si="23"/>
        <v>0</v>
      </c>
      <c r="AM86">
        <v>0</v>
      </c>
      <c r="AN86">
        <v>0</v>
      </c>
      <c r="AO86" s="21">
        <f t="shared" si="24"/>
        <v>0</v>
      </c>
      <c r="AP86" s="21">
        <f t="shared" si="12"/>
        <v>357061</v>
      </c>
      <c r="AQ86" s="21">
        <f t="shared" si="25"/>
        <v>357061</v>
      </c>
      <c r="AR86" s="48">
        <v>2740394</v>
      </c>
      <c r="AS86" s="48">
        <f t="shared" si="29"/>
        <v>357061</v>
      </c>
      <c r="AT86" s="71">
        <v>1766084</v>
      </c>
      <c r="AU86" s="21">
        <f t="shared" si="30"/>
        <v>1409023</v>
      </c>
      <c r="AV86" s="52" t="str">
        <f t="shared" si="32"/>
        <v>No</v>
      </c>
      <c r="AW86" s="48">
        <f t="shared" si="26"/>
        <v>0</v>
      </c>
      <c r="AX86" s="53">
        <f t="shared" si="27"/>
        <v>1766084</v>
      </c>
      <c r="AY86" s="54">
        <f t="shared" si="31"/>
        <v>1766084</v>
      </c>
      <c r="AZ86" s="55"/>
      <c r="BA86" s="55"/>
      <c r="BB86" s="55"/>
      <c r="BC86" s="55"/>
      <c r="BD86" s="55"/>
    </row>
    <row r="87" spans="1:56" x14ac:dyDescent="0.5">
      <c r="A87" s="5" t="s">
        <v>71</v>
      </c>
      <c r="B87" s="5"/>
      <c r="C87" s="33"/>
      <c r="D87" s="33"/>
      <c r="E87" s="33"/>
      <c r="F87" s="2">
        <v>4</v>
      </c>
      <c r="G87">
        <v>0</v>
      </c>
      <c r="H87" s="5">
        <v>61</v>
      </c>
      <c r="I87" s="2" t="s">
        <v>140</v>
      </c>
      <c r="J87" s="45"/>
      <c r="K87">
        <v>1015.24</v>
      </c>
      <c r="L87"/>
      <c r="M87">
        <v>163</v>
      </c>
      <c r="N87" s="46">
        <f t="shared" si="13"/>
        <v>48.9</v>
      </c>
      <c r="O87" s="46">
        <f t="shared" si="14"/>
        <v>609.14</v>
      </c>
      <c r="P87" s="46">
        <f t="shared" si="15"/>
        <v>0</v>
      </c>
      <c r="Q87" s="46">
        <f t="shared" si="16"/>
        <v>0</v>
      </c>
      <c r="R87" s="47">
        <f t="shared" si="17"/>
        <v>0.16</v>
      </c>
      <c r="S87" s="47">
        <f t="shared" si="5"/>
        <v>0</v>
      </c>
      <c r="T87" s="46">
        <f t="shared" si="6"/>
        <v>0</v>
      </c>
      <c r="U87" s="46">
        <f t="shared" si="18"/>
        <v>0</v>
      </c>
      <c r="V87">
        <v>8</v>
      </c>
      <c r="W87" s="46">
        <f t="shared" si="19"/>
        <v>2</v>
      </c>
      <c r="X87" s="22">
        <f t="shared" si="20"/>
        <v>48.9</v>
      </c>
      <c r="Y87" s="10">
        <f t="shared" si="21"/>
        <v>1066.1400000000001</v>
      </c>
      <c r="Z87" s="72">
        <v>1894859282</v>
      </c>
      <c r="AA87" s="71">
        <v>8562</v>
      </c>
      <c r="AB87" s="22">
        <f t="shared" si="7"/>
        <v>221310.36</v>
      </c>
      <c r="AC87" s="9">
        <f t="shared" si="8"/>
        <v>0.80324399999999996</v>
      </c>
      <c r="AD87" s="71">
        <v>115833</v>
      </c>
      <c r="AE87" s="9">
        <f t="shared" si="9"/>
        <v>0.79692200000000002</v>
      </c>
      <c r="AF87" s="9">
        <f t="shared" si="28"/>
        <v>0.198653</v>
      </c>
      <c r="AG87" s="49">
        <f t="shared" si="10"/>
        <v>0.198653</v>
      </c>
      <c r="AH87" s="50">
        <f t="shared" si="11"/>
        <v>0</v>
      </c>
      <c r="AI87" s="51">
        <f t="shared" si="22"/>
        <v>0.198653</v>
      </c>
      <c r="AJ87">
        <v>1018</v>
      </c>
      <c r="AK87">
        <v>13</v>
      </c>
      <c r="AL87" s="21">
        <f t="shared" si="23"/>
        <v>1323400</v>
      </c>
      <c r="AM87">
        <v>0</v>
      </c>
      <c r="AN87">
        <v>0</v>
      </c>
      <c r="AO87" s="21">
        <f t="shared" si="24"/>
        <v>0</v>
      </c>
      <c r="AP87" s="21">
        <f t="shared" si="12"/>
        <v>2440902</v>
      </c>
      <c r="AQ87" s="21">
        <f t="shared" si="25"/>
        <v>3764302</v>
      </c>
      <c r="AR87" s="48">
        <v>1971482</v>
      </c>
      <c r="AS87" s="48">
        <f t="shared" si="29"/>
        <v>3764302</v>
      </c>
      <c r="AT87" s="71">
        <v>3942046</v>
      </c>
      <c r="AU87" s="21">
        <f t="shared" si="30"/>
        <v>177744</v>
      </c>
      <c r="AV87" s="52" t="str">
        <f t="shared" si="32"/>
        <v>No</v>
      </c>
      <c r="AW87" s="48">
        <f t="shared" si="26"/>
        <v>0</v>
      </c>
      <c r="AX87" s="53">
        <f t="shared" si="27"/>
        <v>3942046</v>
      </c>
      <c r="AY87" s="54">
        <f t="shared" si="31"/>
        <v>3942046</v>
      </c>
      <c r="AZ87" s="55"/>
      <c r="BA87" s="55"/>
      <c r="BB87" s="55"/>
      <c r="BC87" s="55"/>
      <c r="BD87" s="55"/>
    </row>
    <row r="88" spans="1:56" x14ac:dyDescent="0.5">
      <c r="A88" s="5" t="s">
        <v>86</v>
      </c>
      <c r="B88" s="5"/>
      <c r="C88" s="33">
        <v>1</v>
      </c>
      <c r="D88" s="33">
        <v>1</v>
      </c>
      <c r="E88" s="33"/>
      <c r="F88" s="2">
        <v>9</v>
      </c>
      <c r="G88">
        <v>18</v>
      </c>
      <c r="H88" s="5">
        <v>62</v>
      </c>
      <c r="I88" s="2" t="s">
        <v>141</v>
      </c>
      <c r="J88" s="45"/>
      <c r="K88">
        <v>6214.36</v>
      </c>
      <c r="L88"/>
      <c r="M88">
        <v>3033</v>
      </c>
      <c r="N88" s="46">
        <f t="shared" si="13"/>
        <v>909.9</v>
      </c>
      <c r="O88" s="46">
        <f t="shared" si="14"/>
        <v>3728.62</v>
      </c>
      <c r="P88" s="46">
        <f t="shared" si="15"/>
        <v>0</v>
      </c>
      <c r="Q88" s="46">
        <f t="shared" si="16"/>
        <v>0</v>
      </c>
      <c r="R88" s="47">
        <f t="shared" si="17"/>
        <v>0.49</v>
      </c>
      <c r="S88" s="47">
        <f t="shared" si="5"/>
        <v>0</v>
      </c>
      <c r="T88" s="46">
        <f t="shared" si="6"/>
        <v>0</v>
      </c>
      <c r="U88" s="46">
        <f t="shared" si="18"/>
        <v>0</v>
      </c>
      <c r="V88">
        <v>541</v>
      </c>
      <c r="W88" s="46">
        <f t="shared" si="19"/>
        <v>135.25</v>
      </c>
      <c r="X88" s="22">
        <f t="shared" si="20"/>
        <v>909.9</v>
      </c>
      <c r="Y88" s="10">
        <f t="shared" si="21"/>
        <v>7259.5099999999993</v>
      </c>
      <c r="Z88" s="72">
        <v>8700869635</v>
      </c>
      <c r="AA88" s="71">
        <v>60297</v>
      </c>
      <c r="AB88" s="22">
        <f t="shared" si="7"/>
        <v>144300.21</v>
      </c>
      <c r="AC88" s="9">
        <f t="shared" si="8"/>
        <v>0.52373599999999998</v>
      </c>
      <c r="AD88" s="71">
        <v>92176</v>
      </c>
      <c r="AE88" s="9">
        <f t="shared" si="9"/>
        <v>0.63416399999999995</v>
      </c>
      <c r="AF88" s="9">
        <f t="shared" si="28"/>
        <v>0.44313599999999997</v>
      </c>
      <c r="AG88" s="49">
        <f t="shared" si="10"/>
        <v>0.44313599999999997</v>
      </c>
      <c r="AH88" s="50">
        <f t="shared" si="11"/>
        <v>0.03</v>
      </c>
      <c r="AI88" s="51">
        <f t="shared" si="22"/>
        <v>0.473136</v>
      </c>
      <c r="AJ88">
        <v>0</v>
      </c>
      <c r="AK88">
        <v>0</v>
      </c>
      <c r="AL88" s="21">
        <f t="shared" si="23"/>
        <v>0</v>
      </c>
      <c r="AM88">
        <v>0</v>
      </c>
      <c r="AN88">
        <v>0</v>
      </c>
      <c r="AO88" s="21">
        <f t="shared" si="24"/>
        <v>0</v>
      </c>
      <c r="AP88" s="21">
        <f t="shared" si="12"/>
        <v>39585327</v>
      </c>
      <c r="AQ88" s="21">
        <f t="shared" si="25"/>
        <v>39585327</v>
      </c>
      <c r="AR88" s="48">
        <v>26945481</v>
      </c>
      <c r="AS88" s="48">
        <f t="shared" si="29"/>
        <v>42723021</v>
      </c>
      <c r="AT88" s="71">
        <v>42723021</v>
      </c>
      <c r="AU88" s="21">
        <f t="shared" si="30"/>
        <v>3137694</v>
      </c>
      <c r="AV88" s="52" t="str">
        <f t="shared" si="32"/>
        <v>No</v>
      </c>
      <c r="AW88" s="48">
        <f t="shared" si="26"/>
        <v>0</v>
      </c>
      <c r="AX88" s="53">
        <f t="shared" si="27"/>
        <v>42723021</v>
      </c>
      <c r="AY88" s="54">
        <f t="shared" si="31"/>
        <v>42723021</v>
      </c>
      <c r="AZ88" s="55"/>
      <c r="BA88" s="55"/>
      <c r="BB88" s="55"/>
      <c r="BC88" s="55"/>
      <c r="BD88" s="55"/>
    </row>
    <row r="89" spans="1:56" x14ac:dyDescent="0.5">
      <c r="A89" s="5" t="s">
        <v>75</v>
      </c>
      <c r="B89" s="5"/>
      <c r="C89" s="33"/>
      <c r="D89" s="33"/>
      <c r="E89" s="33"/>
      <c r="F89" s="2">
        <v>7</v>
      </c>
      <c r="G89">
        <v>0</v>
      </c>
      <c r="H89" s="5">
        <v>63</v>
      </c>
      <c r="I89" s="2" t="s">
        <v>142</v>
      </c>
      <c r="J89" s="45"/>
      <c r="K89">
        <v>108.89</v>
      </c>
      <c r="L89"/>
      <c r="M89">
        <v>45</v>
      </c>
      <c r="N89" s="46">
        <f t="shared" si="13"/>
        <v>13.5</v>
      </c>
      <c r="O89" s="46">
        <f t="shared" si="14"/>
        <v>65.33</v>
      </c>
      <c r="P89" s="46">
        <f t="shared" si="15"/>
        <v>0</v>
      </c>
      <c r="Q89" s="46">
        <f t="shared" si="16"/>
        <v>0</v>
      </c>
      <c r="R89" s="47">
        <f t="shared" si="17"/>
        <v>0.41</v>
      </c>
      <c r="S89" s="47">
        <f t="shared" si="5"/>
        <v>0</v>
      </c>
      <c r="T89" s="46">
        <f t="shared" si="6"/>
        <v>0</v>
      </c>
      <c r="U89" s="46">
        <f t="shared" si="18"/>
        <v>0</v>
      </c>
      <c r="V89">
        <v>0</v>
      </c>
      <c r="W89" s="46">
        <f t="shared" si="19"/>
        <v>0</v>
      </c>
      <c r="X89" s="22">
        <f t="shared" si="20"/>
        <v>13.5</v>
      </c>
      <c r="Y89" s="10">
        <f t="shared" si="21"/>
        <v>122.39</v>
      </c>
      <c r="Z89" s="72">
        <v>313763460.32999998</v>
      </c>
      <c r="AA89" s="71">
        <v>1628</v>
      </c>
      <c r="AB89" s="22">
        <f t="shared" si="7"/>
        <v>192729.4</v>
      </c>
      <c r="AC89" s="9">
        <f t="shared" si="8"/>
        <v>0.69950900000000005</v>
      </c>
      <c r="AD89" s="71">
        <v>112344</v>
      </c>
      <c r="AE89" s="9">
        <f t="shared" si="9"/>
        <v>0.77291799999999999</v>
      </c>
      <c r="AF89" s="9">
        <f t="shared" si="28"/>
        <v>0.27846799999999999</v>
      </c>
      <c r="AG89" s="49">
        <f t="shared" si="10"/>
        <v>0.27846799999999999</v>
      </c>
      <c r="AH89" s="50">
        <f t="shared" si="11"/>
        <v>0</v>
      </c>
      <c r="AI89" s="51">
        <f t="shared" si="22"/>
        <v>0.27846799999999999</v>
      </c>
      <c r="AJ89">
        <v>42</v>
      </c>
      <c r="AK89">
        <v>6</v>
      </c>
      <c r="AL89" s="21">
        <f t="shared" si="23"/>
        <v>25200</v>
      </c>
      <c r="AM89">
        <v>0</v>
      </c>
      <c r="AN89">
        <v>0</v>
      </c>
      <c r="AO89" s="21">
        <f t="shared" si="24"/>
        <v>0</v>
      </c>
      <c r="AP89" s="21">
        <f t="shared" si="12"/>
        <v>392792</v>
      </c>
      <c r="AQ89" s="21">
        <f t="shared" si="25"/>
        <v>417992</v>
      </c>
      <c r="AR89" s="48">
        <v>1312383</v>
      </c>
      <c r="AS89" s="48">
        <f t="shared" si="29"/>
        <v>417992</v>
      </c>
      <c r="AT89" s="71">
        <v>1058408</v>
      </c>
      <c r="AU89" s="21">
        <f t="shared" si="30"/>
        <v>640416</v>
      </c>
      <c r="AV89" s="52" t="str">
        <f t="shared" si="32"/>
        <v>No</v>
      </c>
      <c r="AW89" s="48">
        <f t="shared" si="26"/>
        <v>0</v>
      </c>
      <c r="AX89" s="53">
        <f t="shared" si="27"/>
        <v>1058408</v>
      </c>
      <c r="AY89" s="54">
        <f t="shared" si="31"/>
        <v>1058408</v>
      </c>
      <c r="AZ89" s="55"/>
      <c r="BA89" s="55"/>
      <c r="BB89" s="55"/>
      <c r="BC89" s="55"/>
      <c r="BD89" s="55"/>
    </row>
    <row r="90" spans="1:56" x14ac:dyDescent="0.5">
      <c r="A90" s="5" t="s">
        <v>91</v>
      </c>
      <c r="B90" s="5">
        <v>1</v>
      </c>
      <c r="C90" s="33">
        <v>1</v>
      </c>
      <c r="D90" s="33">
        <v>0</v>
      </c>
      <c r="E90" s="33">
        <v>1</v>
      </c>
      <c r="F90" s="2">
        <v>10</v>
      </c>
      <c r="G90">
        <v>1</v>
      </c>
      <c r="H90" s="5">
        <v>64</v>
      </c>
      <c r="I90" s="2" t="s">
        <v>143</v>
      </c>
      <c r="J90" s="45"/>
      <c r="K90">
        <v>17866.560000000001</v>
      </c>
      <c r="L90"/>
      <c r="M90">
        <v>15380</v>
      </c>
      <c r="N90" s="46">
        <f t="shared" si="13"/>
        <v>4614</v>
      </c>
      <c r="O90" s="46">
        <f t="shared" si="14"/>
        <v>10719.94</v>
      </c>
      <c r="P90" s="46">
        <f t="shared" si="15"/>
        <v>4660.0599999999995</v>
      </c>
      <c r="Q90" s="46">
        <f t="shared" si="16"/>
        <v>699.01</v>
      </c>
      <c r="R90" s="47">
        <f t="shared" si="17"/>
        <v>0.86</v>
      </c>
      <c r="S90" s="47">
        <f t="shared" si="5"/>
        <v>0.26</v>
      </c>
      <c r="T90" s="46">
        <f t="shared" si="6"/>
        <v>4645.3100000000004</v>
      </c>
      <c r="U90" s="46">
        <f t="shared" si="18"/>
        <v>696.8</v>
      </c>
      <c r="V90">
        <v>4763</v>
      </c>
      <c r="W90" s="46">
        <f t="shared" si="19"/>
        <v>1190.75</v>
      </c>
      <c r="X90" s="22">
        <f t="shared" si="20"/>
        <v>4614</v>
      </c>
      <c r="Y90" s="10">
        <f t="shared" si="21"/>
        <v>24370.32</v>
      </c>
      <c r="Z90" s="72">
        <v>9038278007.6700001</v>
      </c>
      <c r="AA90" s="71">
        <v>119970</v>
      </c>
      <c r="AB90" s="22">
        <f t="shared" si="7"/>
        <v>75337.820000000007</v>
      </c>
      <c r="AC90" s="9">
        <f t="shared" si="8"/>
        <v>0.27343800000000001</v>
      </c>
      <c r="AD90" s="71">
        <v>45300</v>
      </c>
      <c r="AE90" s="9">
        <f t="shared" si="9"/>
        <v>0.31166100000000002</v>
      </c>
      <c r="AF90" s="9">
        <f t="shared" si="28"/>
        <v>0.71509500000000004</v>
      </c>
      <c r="AG90" s="49">
        <f t="shared" si="10"/>
        <v>0.71509500000000004</v>
      </c>
      <c r="AH90" s="50">
        <f t="shared" si="11"/>
        <v>0.06</v>
      </c>
      <c r="AI90" s="51">
        <f t="shared" si="22"/>
        <v>0.77509500000000009</v>
      </c>
      <c r="AJ90">
        <v>0</v>
      </c>
      <c r="AK90">
        <v>0</v>
      </c>
      <c r="AL90" s="21">
        <f t="shared" si="23"/>
        <v>0</v>
      </c>
      <c r="AM90">
        <v>0</v>
      </c>
      <c r="AN90">
        <v>0</v>
      </c>
      <c r="AO90" s="21">
        <f t="shared" si="24"/>
        <v>0</v>
      </c>
      <c r="AP90" s="21">
        <f t="shared" si="12"/>
        <v>217699334</v>
      </c>
      <c r="AQ90" s="21">
        <f t="shared" si="25"/>
        <v>217699334</v>
      </c>
      <c r="AR90" s="48">
        <v>200518244</v>
      </c>
      <c r="AS90" s="48">
        <f t="shared" si="29"/>
        <v>226674245</v>
      </c>
      <c r="AT90" s="71">
        <v>226674245</v>
      </c>
      <c r="AU90" s="21">
        <f t="shared" si="30"/>
        <v>8974911</v>
      </c>
      <c r="AV90" s="52" t="str">
        <f t="shared" si="32"/>
        <v>No</v>
      </c>
      <c r="AW90" s="48">
        <f t="shared" si="26"/>
        <v>0</v>
      </c>
      <c r="AX90" s="53">
        <f t="shared" si="27"/>
        <v>226674245</v>
      </c>
      <c r="AY90" s="54">
        <f t="shared" si="31"/>
        <v>226674245</v>
      </c>
      <c r="AZ90" s="55"/>
      <c r="BA90" s="55"/>
      <c r="BB90" s="55"/>
      <c r="BC90" s="55"/>
      <c r="BD90" s="55"/>
    </row>
    <row r="91" spans="1:56" x14ac:dyDescent="0.5">
      <c r="A91" s="5" t="s">
        <v>75</v>
      </c>
      <c r="B91" s="5"/>
      <c r="C91" s="33"/>
      <c r="D91" s="33"/>
      <c r="E91" s="33"/>
      <c r="F91" s="2">
        <v>6</v>
      </c>
      <c r="G91">
        <v>0</v>
      </c>
      <c r="H91" s="5">
        <v>65</v>
      </c>
      <c r="I91" s="2" t="s">
        <v>144</v>
      </c>
      <c r="J91" s="45"/>
      <c r="K91">
        <v>173.33</v>
      </c>
      <c r="L91"/>
      <c r="M91">
        <v>31</v>
      </c>
      <c r="N91" s="46">
        <f t="shared" si="13"/>
        <v>9.3000000000000007</v>
      </c>
      <c r="O91" s="46">
        <f t="shared" si="14"/>
        <v>104</v>
      </c>
      <c r="P91" s="46">
        <f t="shared" si="15"/>
        <v>0</v>
      </c>
      <c r="Q91" s="46">
        <f t="shared" si="16"/>
        <v>0</v>
      </c>
      <c r="R91" s="47">
        <f t="shared" si="17"/>
        <v>0.18</v>
      </c>
      <c r="S91" s="47">
        <f t="shared" ref="S91:S154" si="33">IF(R91&gt;0.6,+R91-0.6,0)</f>
        <v>0</v>
      </c>
      <c r="T91" s="46">
        <f t="shared" ref="T91:T154" si="34">ROUND(S91*K91,2)</f>
        <v>0</v>
      </c>
      <c r="U91" s="46">
        <f t="shared" si="18"/>
        <v>0</v>
      </c>
      <c r="V91">
        <v>0</v>
      </c>
      <c r="W91" s="46">
        <f t="shared" si="19"/>
        <v>0</v>
      </c>
      <c r="X91" s="22">
        <f t="shared" si="20"/>
        <v>9.3000000000000007</v>
      </c>
      <c r="Y91" s="10">
        <f t="shared" si="21"/>
        <v>182.63000000000002</v>
      </c>
      <c r="Z91" s="72">
        <v>424468737.32999998</v>
      </c>
      <c r="AA91" s="71">
        <v>1881</v>
      </c>
      <c r="AB91" s="22">
        <f t="shared" ref="AB91:AB154" si="35">ROUND(Z91/AA91,2)</f>
        <v>225661.21</v>
      </c>
      <c r="AC91" s="9">
        <f t="shared" ref="AC91:AC154" si="36">(ROUND(AB91/$AC$21,6))</f>
        <v>0.81903499999999996</v>
      </c>
      <c r="AD91" s="71">
        <v>117109</v>
      </c>
      <c r="AE91" s="9">
        <f t="shared" ref="AE91:AE154" si="37">(ROUND(AD91/$AE$21,6))</f>
        <v>0.805701</v>
      </c>
      <c r="AF91" s="9">
        <f t="shared" si="28"/>
        <v>0.18496499999999999</v>
      </c>
      <c r="AG91" s="49">
        <f t="shared" ref="AG91:AG154" si="38">IF(OR(B91=1,C91=1),MAX($L$7,AF91),MAX($L$6,AF91))</f>
        <v>0.18496499999999999</v>
      </c>
      <c r="AH91" s="50">
        <f t="shared" ref="AH91:AH154" si="39">IF(G91&gt;=1,IF(G91&lt;=5,0.06,IF(G91&lt;=10,0.05,IF(G91&lt;=15,0.04,IF(G91&lt;=19,0.03,0)))),0)</f>
        <v>0</v>
      </c>
      <c r="AI91" s="51">
        <f t="shared" si="22"/>
        <v>0.18496499999999999</v>
      </c>
      <c r="AJ91">
        <v>0</v>
      </c>
      <c r="AK91">
        <v>0</v>
      </c>
      <c r="AL91" s="21">
        <f t="shared" si="23"/>
        <v>0</v>
      </c>
      <c r="AM91">
        <v>0</v>
      </c>
      <c r="AN91">
        <v>0</v>
      </c>
      <c r="AO91" s="21">
        <f t="shared" si="24"/>
        <v>0</v>
      </c>
      <c r="AP91" s="21">
        <f t="shared" ref="AP91:AP154" si="40">ROUND(Y91*AI91*$AP$21,0)</f>
        <v>389316</v>
      </c>
      <c r="AQ91" s="21">
        <f t="shared" si="25"/>
        <v>389316</v>
      </c>
      <c r="AR91" s="48">
        <v>1327652</v>
      </c>
      <c r="AS91" s="48">
        <f t="shared" si="29"/>
        <v>389316</v>
      </c>
      <c r="AT91" s="71">
        <v>1071722</v>
      </c>
      <c r="AU91" s="21">
        <f t="shared" si="30"/>
        <v>682406</v>
      </c>
      <c r="AV91" s="52" t="str">
        <f t="shared" si="32"/>
        <v>No</v>
      </c>
      <c r="AW91" s="48">
        <f t="shared" si="26"/>
        <v>0</v>
      </c>
      <c r="AX91" s="53">
        <f t="shared" si="27"/>
        <v>1071722</v>
      </c>
      <c r="AY91" s="54">
        <f t="shared" si="31"/>
        <v>1071722</v>
      </c>
      <c r="AZ91" s="55"/>
      <c r="BA91" s="55"/>
      <c r="BB91" s="55"/>
      <c r="BC91" s="55"/>
      <c r="BD91" s="55"/>
    </row>
    <row r="92" spans="1:56" x14ac:dyDescent="0.5">
      <c r="A92" s="5" t="s">
        <v>71</v>
      </c>
      <c r="B92" s="5"/>
      <c r="C92" s="33"/>
      <c r="D92" s="33"/>
      <c r="E92" s="33"/>
      <c r="F92" s="2">
        <v>5</v>
      </c>
      <c r="G92">
        <v>0</v>
      </c>
      <c r="H92" s="5">
        <v>66</v>
      </c>
      <c r="I92" s="2" t="s">
        <v>145</v>
      </c>
      <c r="J92" s="45"/>
      <c r="K92">
        <v>673.43</v>
      </c>
      <c r="L92"/>
      <c r="M92">
        <v>168</v>
      </c>
      <c r="N92" s="46">
        <f t="shared" ref="N92:N155" si="41">ROUND(M92*0.3,2)</f>
        <v>50.4</v>
      </c>
      <c r="O92" s="46">
        <f t="shared" ref="O92:O155" si="42">ROUND(K92*0.6,2)</f>
        <v>404.06</v>
      </c>
      <c r="P92" s="46">
        <f t="shared" ref="P92:P155" si="43">MAX(M92-O92,0)</f>
        <v>0</v>
      </c>
      <c r="Q92" s="46">
        <f t="shared" ref="Q92:Q155" si="44">ROUND(P92*0.15,2)</f>
        <v>0</v>
      </c>
      <c r="R92" s="47">
        <f t="shared" ref="R92:R155" si="45">ROUND(M92/K92,2)</f>
        <v>0.25</v>
      </c>
      <c r="S92" s="47">
        <f t="shared" si="33"/>
        <v>0</v>
      </c>
      <c r="T92" s="46">
        <f t="shared" si="34"/>
        <v>0</v>
      </c>
      <c r="U92" s="46">
        <f t="shared" ref="U92:U155" si="46">ROUND(T92*0.15,2)</f>
        <v>0</v>
      </c>
      <c r="V92">
        <v>8</v>
      </c>
      <c r="W92" s="46">
        <f t="shared" ref="W92:W155" si="47">ROUND(V92*0.25,2)</f>
        <v>2</v>
      </c>
      <c r="X92" s="22">
        <f t="shared" ref="X92:X155" si="48">ROUND(M92*$X$2,2)</f>
        <v>50.4</v>
      </c>
      <c r="Y92" s="10">
        <f t="shared" ref="Y92:Y155" si="49">+K92+N92+Q92+W92</f>
        <v>725.82999999999993</v>
      </c>
      <c r="Z92" s="72">
        <v>1174120768</v>
      </c>
      <c r="AA92" s="71">
        <v>5529</v>
      </c>
      <c r="AB92" s="22">
        <f t="shared" si="35"/>
        <v>212356.8</v>
      </c>
      <c r="AC92" s="9">
        <f t="shared" si="36"/>
        <v>0.77074699999999996</v>
      </c>
      <c r="AD92" s="71">
        <v>107440</v>
      </c>
      <c r="AE92" s="9">
        <f t="shared" si="37"/>
        <v>0.73917900000000003</v>
      </c>
      <c r="AF92" s="9">
        <f t="shared" si="28"/>
        <v>0.23872299999999999</v>
      </c>
      <c r="AG92" s="49">
        <f t="shared" si="38"/>
        <v>0.23872299999999999</v>
      </c>
      <c r="AH92" s="50">
        <f t="shared" si="39"/>
        <v>0</v>
      </c>
      <c r="AI92" s="51">
        <f t="shared" ref="AI92:AI155" si="50">+AH92+AG92</f>
        <v>0.23872299999999999</v>
      </c>
      <c r="AJ92">
        <v>674</v>
      </c>
      <c r="AK92">
        <v>13</v>
      </c>
      <c r="AL92" s="21">
        <f t="shared" ref="AL92:AL155" si="51">ROUND(AJ92*AK92*100,0)</f>
        <v>876200</v>
      </c>
      <c r="AM92">
        <v>0</v>
      </c>
      <c r="AN92">
        <v>0</v>
      </c>
      <c r="AO92" s="21">
        <f t="shared" ref="AO92:AO155" si="52">ROUND(AM92*AN92*100,0)</f>
        <v>0</v>
      </c>
      <c r="AP92" s="21">
        <f t="shared" si="40"/>
        <v>1996963</v>
      </c>
      <c r="AQ92" s="21">
        <f t="shared" ref="AQ92:AQ155" si="53">SUM(AL92+AO92+AP92)</f>
        <v>2873163</v>
      </c>
      <c r="AR92" s="48">
        <v>2708774</v>
      </c>
      <c r="AS92" s="48">
        <f t="shared" si="29"/>
        <v>2873163</v>
      </c>
      <c r="AT92" s="71">
        <v>2889911</v>
      </c>
      <c r="AU92" s="21">
        <f t="shared" si="30"/>
        <v>16748</v>
      </c>
      <c r="AV92" s="52" t="str">
        <f t="shared" si="32"/>
        <v>No</v>
      </c>
      <c r="AW92" s="48">
        <f t="shared" ref="AW92:AW155" si="54">IF(AV92="Yes",+AU92*$L$9,+AU92*$L$10)</f>
        <v>0</v>
      </c>
      <c r="AX92" s="53">
        <f t="shared" ref="AX92:AX155" si="55">IF(AV92="Yes",AT92+AW92,AT92- AW92)</f>
        <v>2889911</v>
      </c>
      <c r="AY92" s="54">
        <f t="shared" si="31"/>
        <v>2889911</v>
      </c>
      <c r="AZ92" s="55"/>
      <c r="BA92" s="55"/>
      <c r="BB92" s="55"/>
      <c r="BC92" s="55"/>
      <c r="BD92" s="55"/>
    </row>
    <row r="93" spans="1:56" x14ac:dyDescent="0.5">
      <c r="A93" s="5" t="s">
        <v>71</v>
      </c>
      <c r="B93" s="5"/>
      <c r="C93" s="33"/>
      <c r="D93" s="33"/>
      <c r="E93" s="33"/>
      <c r="F93" s="2">
        <v>4</v>
      </c>
      <c r="G93">
        <v>0</v>
      </c>
      <c r="H93" s="5">
        <v>67</v>
      </c>
      <c r="I93" s="2" t="s">
        <v>146</v>
      </c>
      <c r="J93" s="45"/>
      <c r="K93">
        <v>1191.05</v>
      </c>
      <c r="L93"/>
      <c r="M93">
        <v>218</v>
      </c>
      <c r="N93" s="46">
        <f t="shared" si="41"/>
        <v>65.400000000000006</v>
      </c>
      <c r="O93" s="46">
        <f t="shared" si="42"/>
        <v>714.63</v>
      </c>
      <c r="P93" s="46">
        <f t="shared" si="43"/>
        <v>0</v>
      </c>
      <c r="Q93" s="46">
        <f t="shared" si="44"/>
        <v>0</v>
      </c>
      <c r="R93" s="47">
        <f t="shared" si="45"/>
        <v>0.18</v>
      </c>
      <c r="S93" s="47">
        <f t="shared" si="33"/>
        <v>0</v>
      </c>
      <c r="T93" s="46">
        <f t="shared" si="34"/>
        <v>0</v>
      </c>
      <c r="U93" s="46">
        <f t="shared" si="46"/>
        <v>0</v>
      </c>
      <c r="V93">
        <v>1</v>
      </c>
      <c r="W93" s="46">
        <f t="shared" si="47"/>
        <v>0.25</v>
      </c>
      <c r="X93" s="22">
        <f t="shared" si="48"/>
        <v>65.400000000000006</v>
      </c>
      <c r="Y93" s="10">
        <f t="shared" si="49"/>
        <v>1256.7</v>
      </c>
      <c r="Z93" s="72">
        <v>1624852033.6700001</v>
      </c>
      <c r="AA93" s="71">
        <v>9109</v>
      </c>
      <c r="AB93" s="22">
        <f t="shared" si="35"/>
        <v>178378.75</v>
      </c>
      <c r="AC93" s="9">
        <f t="shared" si="36"/>
        <v>0.647424</v>
      </c>
      <c r="AD93" s="71">
        <v>140700</v>
      </c>
      <c r="AE93" s="9">
        <f t="shared" si="37"/>
        <v>0.968005</v>
      </c>
      <c r="AF93" s="9">
        <f t="shared" ref="AF93:AF156" si="56">ROUND(1-((AC93*$L$4)+(AE93*$L$5)),6)</f>
        <v>0.25640200000000002</v>
      </c>
      <c r="AG93" s="49">
        <f t="shared" si="38"/>
        <v>0.25640200000000002</v>
      </c>
      <c r="AH93" s="50">
        <f t="shared" si="39"/>
        <v>0</v>
      </c>
      <c r="AI93" s="51">
        <f t="shared" si="50"/>
        <v>0.25640200000000002</v>
      </c>
      <c r="AJ93">
        <v>570</v>
      </c>
      <c r="AK93">
        <v>6</v>
      </c>
      <c r="AL93" s="21">
        <f t="shared" si="51"/>
        <v>342000</v>
      </c>
      <c r="AM93">
        <v>0</v>
      </c>
      <c r="AN93">
        <v>0</v>
      </c>
      <c r="AO93" s="21">
        <f t="shared" si="52"/>
        <v>0</v>
      </c>
      <c r="AP93" s="21">
        <f t="shared" si="40"/>
        <v>3713590</v>
      </c>
      <c r="AQ93" s="21">
        <f t="shared" si="53"/>
        <v>4055590</v>
      </c>
      <c r="AR93" s="48">
        <v>6875123</v>
      </c>
      <c r="AS93" s="48">
        <f t="shared" ref="AS93:AS156" si="57">IF(C93=1, MAX(AR93, AQ93, AT93), AQ93)</f>
        <v>4055590</v>
      </c>
      <c r="AT93" s="71">
        <v>5997693</v>
      </c>
      <c r="AU93" s="21">
        <f t="shared" ref="AU93:AU156" si="58">ABS(AQ93-AT93)</f>
        <v>1942103</v>
      </c>
      <c r="AV93" s="52" t="str">
        <f t="shared" si="32"/>
        <v>No</v>
      </c>
      <c r="AW93" s="48">
        <f t="shared" si="54"/>
        <v>0</v>
      </c>
      <c r="AX93" s="53">
        <f t="shared" si="55"/>
        <v>5997693</v>
      </c>
      <c r="AY93" s="54">
        <f t="shared" ref="AY93:AY156" si="59">IF(C93=1,MAX(AX93,AR93,AT93),AX93)</f>
        <v>5997693</v>
      </c>
      <c r="AZ93" s="55"/>
      <c r="BA93" s="55"/>
      <c r="BB93" s="55"/>
      <c r="BC93" s="55"/>
      <c r="BD93" s="55"/>
    </row>
    <row r="94" spans="1:56" x14ac:dyDescent="0.5">
      <c r="A94" s="5" t="s">
        <v>75</v>
      </c>
      <c r="B94" s="5"/>
      <c r="C94" s="33"/>
      <c r="D94" s="33"/>
      <c r="E94" s="33"/>
      <c r="F94" s="2">
        <v>2</v>
      </c>
      <c r="G94">
        <v>0</v>
      </c>
      <c r="H94" s="5">
        <v>68</v>
      </c>
      <c r="I94" s="2" t="s">
        <v>147</v>
      </c>
      <c r="J94" s="45"/>
      <c r="K94">
        <v>195.49</v>
      </c>
      <c r="L94"/>
      <c r="M94">
        <v>62</v>
      </c>
      <c r="N94" s="46">
        <f t="shared" si="41"/>
        <v>18.600000000000001</v>
      </c>
      <c r="O94" s="46">
        <f t="shared" si="42"/>
        <v>117.29</v>
      </c>
      <c r="P94" s="46">
        <f t="shared" si="43"/>
        <v>0</v>
      </c>
      <c r="Q94" s="46">
        <f t="shared" si="44"/>
        <v>0</v>
      </c>
      <c r="R94" s="47">
        <f t="shared" si="45"/>
        <v>0.32</v>
      </c>
      <c r="S94" s="47">
        <f t="shared" si="33"/>
        <v>0</v>
      </c>
      <c r="T94" s="46">
        <f t="shared" si="34"/>
        <v>0</v>
      </c>
      <c r="U94" s="46">
        <f t="shared" si="46"/>
        <v>0</v>
      </c>
      <c r="V94">
        <v>2</v>
      </c>
      <c r="W94" s="46">
        <f t="shared" si="47"/>
        <v>0.5</v>
      </c>
      <c r="X94" s="22">
        <f t="shared" si="48"/>
        <v>18.600000000000001</v>
      </c>
      <c r="Y94" s="10">
        <f t="shared" si="49"/>
        <v>214.59</v>
      </c>
      <c r="Z94" s="72">
        <v>1202116016.3299999</v>
      </c>
      <c r="AA94" s="71">
        <v>3041</v>
      </c>
      <c r="AB94" s="22">
        <f t="shared" si="35"/>
        <v>395302.87</v>
      </c>
      <c r="AC94" s="9">
        <f t="shared" si="36"/>
        <v>1.434747</v>
      </c>
      <c r="AD94" s="71">
        <v>101023</v>
      </c>
      <c r="AE94" s="9">
        <f t="shared" si="37"/>
        <v>0.69503099999999995</v>
      </c>
      <c r="AF94" s="9">
        <f t="shared" si="56"/>
        <v>-0.21283199999999999</v>
      </c>
      <c r="AG94" s="49">
        <f t="shared" si="38"/>
        <v>0.01</v>
      </c>
      <c r="AH94" s="50">
        <f t="shared" si="39"/>
        <v>0</v>
      </c>
      <c r="AI94" s="51">
        <f t="shared" si="50"/>
        <v>0.01</v>
      </c>
      <c r="AJ94">
        <v>38</v>
      </c>
      <c r="AK94">
        <v>4</v>
      </c>
      <c r="AL94" s="21">
        <f t="shared" si="51"/>
        <v>15200</v>
      </c>
      <c r="AM94">
        <v>0</v>
      </c>
      <c r="AN94">
        <v>0</v>
      </c>
      <c r="AO94" s="21">
        <f t="shared" si="52"/>
        <v>0</v>
      </c>
      <c r="AP94" s="21">
        <f t="shared" si="40"/>
        <v>24731</v>
      </c>
      <c r="AQ94" s="21">
        <f t="shared" si="53"/>
        <v>39931</v>
      </c>
      <c r="AR94" s="48">
        <v>25634</v>
      </c>
      <c r="AS94" s="48">
        <f t="shared" si="57"/>
        <v>39931</v>
      </c>
      <c r="AT94" s="71">
        <v>41751</v>
      </c>
      <c r="AU94" s="21">
        <f t="shared" si="58"/>
        <v>1820</v>
      </c>
      <c r="AV94" s="52" t="str">
        <f t="shared" ref="AV94:AV157" si="60">IF(AQ94&gt;AT94,"Yes","No")</f>
        <v>No</v>
      </c>
      <c r="AW94" s="48">
        <f t="shared" si="54"/>
        <v>0</v>
      </c>
      <c r="AX94" s="53">
        <f t="shared" si="55"/>
        <v>41751</v>
      </c>
      <c r="AY94" s="54">
        <f t="shared" si="59"/>
        <v>41751</v>
      </c>
      <c r="AZ94" s="55"/>
      <c r="BA94" s="55"/>
      <c r="BB94" s="55"/>
      <c r="BC94" s="55"/>
      <c r="BD94" s="55"/>
    </row>
    <row r="95" spans="1:56" x14ac:dyDescent="0.5">
      <c r="A95" s="5" t="s">
        <v>86</v>
      </c>
      <c r="B95" s="5"/>
      <c r="C95" s="33">
        <v>1</v>
      </c>
      <c r="D95" s="33">
        <v>1</v>
      </c>
      <c r="E95" s="33"/>
      <c r="F95" s="2">
        <v>10</v>
      </c>
      <c r="G95">
        <v>25</v>
      </c>
      <c r="H95" s="5">
        <v>69</v>
      </c>
      <c r="I95" s="2" t="s">
        <v>148</v>
      </c>
      <c r="J95" s="45"/>
      <c r="K95">
        <v>2014.16</v>
      </c>
      <c r="L95"/>
      <c r="M95">
        <v>974</v>
      </c>
      <c r="N95" s="46">
        <f t="shared" si="41"/>
        <v>292.2</v>
      </c>
      <c r="O95" s="46">
        <f t="shared" si="42"/>
        <v>1208.5</v>
      </c>
      <c r="P95" s="46">
        <f t="shared" si="43"/>
        <v>0</v>
      </c>
      <c r="Q95" s="46">
        <f t="shared" si="44"/>
        <v>0</v>
      </c>
      <c r="R95" s="47">
        <f t="shared" si="45"/>
        <v>0.48</v>
      </c>
      <c r="S95" s="47">
        <f t="shared" si="33"/>
        <v>0</v>
      </c>
      <c r="T95" s="46">
        <f t="shared" si="34"/>
        <v>0</v>
      </c>
      <c r="U95" s="46">
        <f t="shared" si="46"/>
        <v>0</v>
      </c>
      <c r="V95">
        <v>50</v>
      </c>
      <c r="W95" s="46">
        <f t="shared" si="47"/>
        <v>12.5</v>
      </c>
      <c r="X95" s="22">
        <f t="shared" si="48"/>
        <v>292.2</v>
      </c>
      <c r="Y95" s="10">
        <f t="shared" si="49"/>
        <v>2318.86</v>
      </c>
      <c r="Z95" s="72">
        <v>3305697276.3299999</v>
      </c>
      <c r="AA95" s="71">
        <v>17785</v>
      </c>
      <c r="AB95" s="22">
        <f t="shared" si="35"/>
        <v>185869.96</v>
      </c>
      <c r="AC95" s="9">
        <f t="shared" si="36"/>
        <v>0.67461300000000002</v>
      </c>
      <c r="AD95" s="71">
        <v>81881</v>
      </c>
      <c r="AE95" s="9">
        <f t="shared" si="37"/>
        <v>0.56333500000000003</v>
      </c>
      <c r="AF95" s="9">
        <f t="shared" si="56"/>
        <v>0.35876999999999998</v>
      </c>
      <c r="AG95" s="49">
        <f t="shared" si="38"/>
        <v>0.35876999999999998</v>
      </c>
      <c r="AH95" s="50">
        <f t="shared" si="39"/>
        <v>0</v>
      </c>
      <c r="AI95" s="51">
        <f t="shared" si="50"/>
        <v>0.35876999999999998</v>
      </c>
      <c r="AJ95">
        <v>0</v>
      </c>
      <c r="AK95">
        <v>0</v>
      </c>
      <c r="AL95" s="21">
        <f t="shared" si="51"/>
        <v>0</v>
      </c>
      <c r="AM95">
        <v>0</v>
      </c>
      <c r="AN95">
        <v>0</v>
      </c>
      <c r="AO95" s="21">
        <f t="shared" si="52"/>
        <v>0</v>
      </c>
      <c r="AP95" s="21">
        <f t="shared" si="40"/>
        <v>9588079</v>
      </c>
      <c r="AQ95" s="21">
        <f t="shared" si="53"/>
        <v>9588079</v>
      </c>
      <c r="AR95" s="48">
        <v>15574402</v>
      </c>
      <c r="AS95" s="48">
        <f t="shared" si="57"/>
        <v>15574402</v>
      </c>
      <c r="AT95" s="71">
        <v>15574402</v>
      </c>
      <c r="AU95" s="21">
        <f t="shared" si="58"/>
        <v>5986323</v>
      </c>
      <c r="AV95" s="52" t="str">
        <f t="shared" si="60"/>
        <v>No</v>
      </c>
      <c r="AW95" s="48">
        <f t="shared" si="54"/>
        <v>0</v>
      </c>
      <c r="AX95" s="53">
        <f t="shared" si="55"/>
        <v>15574402</v>
      </c>
      <c r="AY95" s="54">
        <f t="shared" si="59"/>
        <v>15574402</v>
      </c>
      <c r="AZ95" s="55"/>
      <c r="BA95" s="55"/>
      <c r="BB95" s="55"/>
      <c r="BC95" s="55"/>
      <c r="BD95" s="55"/>
    </row>
    <row r="96" spans="1:56" x14ac:dyDescent="0.5">
      <c r="A96" s="5" t="s">
        <v>71</v>
      </c>
      <c r="B96" s="5"/>
      <c r="C96" s="33"/>
      <c r="D96" s="33"/>
      <c r="E96" s="33"/>
      <c r="F96" s="2">
        <v>3</v>
      </c>
      <c r="G96">
        <v>0</v>
      </c>
      <c r="H96" s="5">
        <v>70</v>
      </c>
      <c r="I96" s="2" t="s">
        <v>149</v>
      </c>
      <c r="J96" s="45"/>
      <c r="K96">
        <v>668.43</v>
      </c>
      <c r="L96"/>
      <c r="M96">
        <v>98</v>
      </c>
      <c r="N96" s="46">
        <f t="shared" si="41"/>
        <v>29.4</v>
      </c>
      <c r="O96" s="46">
        <f t="shared" si="42"/>
        <v>401.06</v>
      </c>
      <c r="P96" s="46">
        <f t="shared" si="43"/>
        <v>0</v>
      </c>
      <c r="Q96" s="46">
        <f t="shared" si="44"/>
        <v>0</v>
      </c>
      <c r="R96" s="47">
        <f t="shared" si="45"/>
        <v>0.15</v>
      </c>
      <c r="S96" s="47">
        <f t="shared" si="33"/>
        <v>0</v>
      </c>
      <c r="T96" s="46">
        <f t="shared" si="34"/>
        <v>0</v>
      </c>
      <c r="U96" s="46">
        <f t="shared" si="46"/>
        <v>0</v>
      </c>
      <c r="V96">
        <v>5</v>
      </c>
      <c r="W96" s="46">
        <f t="shared" si="47"/>
        <v>1.25</v>
      </c>
      <c r="X96" s="22">
        <f t="shared" si="48"/>
        <v>29.4</v>
      </c>
      <c r="Y96" s="10">
        <f t="shared" si="49"/>
        <v>699.07999999999993</v>
      </c>
      <c r="Z96" s="72">
        <v>1437628635.6700001</v>
      </c>
      <c r="AA96" s="71">
        <v>6219</v>
      </c>
      <c r="AB96" s="22">
        <f t="shared" si="35"/>
        <v>231167.17</v>
      </c>
      <c r="AC96" s="9">
        <f t="shared" si="36"/>
        <v>0.83901899999999996</v>
      </c>
      <c r="AD96" s="71">
        <v>132739</v>
      </c>
      <c r="AE96" s="9">
        <f t="shared" si="37"/>
        <v>0.91323399999999999</v>
      </c>
      <c r="AF96" s="9">
        <f t="shared" si="56"/>
        <v>0.13871700000000001</v>
      </c>
      <c r="AG96" s="49">
        <f t="shared" si="38"/>
        <v>0.13871700000000001</v>
      </c>
      <c r="AH96" s="50">
        <f t="shared" si="39"/>
        <v>0</v>
      </c>
      <c r="AI96" s="51">
        <f t="shared" si="50"/>
        <v>0.13871700000000001</v>
      </c>
      <c r="AJ96">
        <v>673</v>
      </c>
      <c r="AK96">
        <v>13</v>
      </c>
      <c r="AL96" s="21">
        <f t="shared" si="51"/>
        <v>874900</v>
      </c>
      <c r="AM96">
        <v>0</v>
      </c>
      <c r="AN96">
        <v>0</v>
      </c>
      <c r="AO96" s="21">
        <f t="shared" si="52"/>
        <v>0</v>
      </c>
      <c r="AP96" s="21">
        <f t="shared" si="40"/>
        <v>1117629</v>
      </c>
      <c r="AQ96" s="21">
        <f t="shared" si="53"/>
        <v>1992529</v>
      </c>
      <c r="AR96" s="48">
        <v>2173420</v>
      </c>
      <c r="AS96" s="48">
        <f t="shared" si="57"/>
        <v>1992529</v>
      </c>
      <c r="AT96" s="71">
        <v>2207225</v>
      </c>
      <c r="AU96" s="21">
        <f t="shared" si="58"/>
        <v>214696</v>
      </c>
      <c r="AV96" s="52" t="str">
        <f t="shared" si="60"/>
        <v>No</v>
      </c>
      <c r="AW96" s="48">
        <f t="shared" si="54"/>
        <v>0</v>
      </c>
      <c r="AX96" s="53">
        <f t="shared" si="55"/>
        <v>2207225</v>
      </c>
      <c r="AY96" s="54">
        <f t="shared" si="59"/>
        <v>2207225</v>
      </c>
      <c r="AZ96" s="55"/>
      <c r="BA96" s="55"/>
      <c r="BB96" s="55"/>
      <c r="BC96" s="55"/>
      <c r="BD96" s="55"/>
    </row>
    <row r="97" spans="1:56" x14ac:dyDescent="0.5">
      <c r="A97" s="5" t="s">
        <v>75</v>
      </c>
      <c r="B97" s="5"/>
      <c r="C97" s="33"/>
      <c r="D97" s="33"/>
      <c r="E97" s="33"/>
      <c r="F97" s="2">
        <v>7</v>
      </c>
      <c r="G97">
        <v>0</v>
      </c>
      <c r="H97" s="5">
        <v>71</v>
      </c>
      <c r="I97" s="2" t="s">
        <v>150</v>
      </c>
      <c r="J97" s="45"/>
      <c r="K97">
        <v>796.01</v>
      </c>
      <c r="L97"/>
      <c r="M97">
        <v>210</v>
      </c>
      <c r="N97" s="46">
        <f t="shared" si="41"/>
        <v>63</v>
      </c>
      <c r="O97" s="46">
        <f t="shared" si="42"/>
        <v>477.61</v>
      </c>
      <c r="P97" s="46">
        <f t="shared" si="43"/>
        <v>0</v>
      </c>
      <c r="Q97" s="46">
        <f t="shared" si="44"/>
        <v>0</v>
      </c>
      <c r="R97" s="47">
        <f t="shared" si="45"/>
        <v>0.26</v>
      </c>
      <c r="S97" s="47">
        <f t="shared" si="33"/>
        <v>0</v>
      </c>
      <c r="T97" s="46">
        <f t="shared" si="34"/>
        <v>0</v>
      </c>
      <c r="U97" s="46">
        <f t="shared" si="46"/>
        <v>0</v>
      </c>
      <c r="V97">
        <v>5</v>
      </c>
      <c r="W97" s="46">
        <f t="shared" si="47"/>
        <v>1.25</v>
      </c>
      <c r="X97" s="22">
        <f t="shared" si="48"/>
        <v>63</v>
      </c>
      <c r="Y97" s="10">
        <f t="shared" si="49"/>
        <v>860.26</v>
      </c>
      <c r="Z97" s="72">
        <v>1445552455.3299999</v>
      </c>
      <c r="AA97" s="71">
        <v>7137</v>
      </c>
      <c r="AB97" s="22">
        <f t="shared" si="35"/>
        <v>202543.43</v>
      </c>
      <c r="AC97" s="9">
        <f t="shared" si="36"/>
        <v>0.73512900000000003</v>
      </c>
      <c r="AD97" s="71">
        <v>106594</v>
      </c>
      <c r="AE97" s="9">
        <f t="shared" si="37"/>
        <v>0.73335899999999998</v>
      </c>
      <c r="AF97" s="9">
        <f t="shared" si="56"/>
        <v>0.26540200000000003</v>
      </c>
      <c r="AG97" s="49">
        <f t="shared" si="38"/>
        <v>0.26540200000000003</v>
      </c>
      <c r="AH97" s="50">
        <f t="shared" si="39"/>
        <v>0</v>
      </c>
      <c r="AI97" s="51">
        <f t="shared" si="50"/>
        <v>0.26540200000000003</v>
      </c>
      <c r="AJ97">
        <v>0</v>
      </c>
      <c r="AK97">
        <v>0</v>
      </c>
      <c r="AL97" s="21">
        <f t="shared" si="51"/>
        <v>0</v>
      </c>
      <c r="AM97">
        <v>0</v>
      </c>
      <c r="AN97">
        <v>0</v>
      </c>
      <c r="AO97" s="21">
        <f t="shared" si="52"/>
        <v>0</v>
      </c>
      <c r="AP97" s="21">
        <f t="shared" si="40"/>
        <v>2631327</v>
      </c>
      <c r="AQ97" s="21">
        <f t="shared" si="53"/>
        <v>2631327</v>
      </c>
      <c r="AR97" s="48">
        <v>5410404</v>
      </c>
      <c r="AS97" s="48">
        <f t="shared" si="57"/>
        <v>2631327</v>
      </c>
      <c r="AT97" s="71">
        <v>4578589</v>
      </c>
      <c r="AU97" s="21">
        <f t="shared" si="58"/>
        <v>1947262</v>
      </c>
      <c r="AV97" s="52" t="str">
        <f t="shared" si="60"/>
        <v>No</v>
      </c>
      <c r="AW97" s="48">
        <f t="shared" si="54"/>
        <v>0</v>
      </c>
      <c r="AX97" s="53">
        <f t="shared" si="55"/>
        <v>4578589</v>
      </c>
      <c r="AY97" s="54">
        <f t="shared" si="59"/>
        <v>4578589</v>
      </c>
      <c r="AZ97" s="55"/>
      <c r="BA97" s="55"/>
      <c r="BB97" s="55"/>
      <c r="BC97" s="55"/>
      <c r="BD97" s="55"/>
    </row>
    <row r="98" spans="1:56" x14ac:dyDescent="0.5">
      <c r="A98" s="5" t="s">
        <v>81</v>
      </c>
      <c r="B98" s="5"/>
      <c r="C98" s="33"/>
      <c r="D98" s="33"/>
      <c r="E98" s="33"/>
      <c r="F98" s="2">
        <v>7</v>
      </c>
      <c r="G98">
        <v>0</v>
      </c>
      <c r="H98" s="5">
        <v>72</v>
      </c>
      <c r="I98" s="2" t="s">
        <v>151</v>
      </c>
      <c r="J98" s="45"/>
      <c r="K98">
        <v>2248.0100000000002</v>
      </c>
      <c r="L98"/>
      <c r="M98">
        <v>573</v>
      </c>
      <c r="N98" s="46">
        <f t="shared" si="41"/>
        <v>171.9</v>
      </c>
      <c r="O98" s="46">
        <f t="shared" si="42"/>
        <v>1348.81</v>
      </c>
      <c r="P98" s="46">
        <f t="shared" si="43"/>
        <v>0</v>
      </c>
      <c r="Q98" s="46">
        <f t="shared" si="44"/>
        <v>0</v>
      </c>
      <c r="R98" s="47">
        <f t="shared" si="45"/>
        <v>0.25</v>
      </c>
      <c r="S98" s="47">
        <f t="shared" si="33"/>
        <v>0</v>
      </c>
      <c r="T98" s="46">
        <f t="shared" si="34"/>
        <v>0</v>
      </c>
      <c r="U98" s="46">
        <f t="shared" si="46"/>
        <v>0</v>
      </c>
      <c r="V98">
        <v>42</v>
      </c>
      <c r="W98" s="46">
        <f t="shared" si="47"/>
        <v>10.5</v>
      </c>
      <c r="X98" s="22">
        <f t="shared" si="48"/>
        <v>171.9</v>
      </c>
      <c r="Y98" s="10">
        <f t="shared" si="49"/>
        <v>2430.4100000000003</v>
      </c>
      <c r="Z98" s="72">
        <v>2515834785.3299999</v>
      </c>
      <c r="AA98" s="71">
        <v>15394</v>
      </c>
      <c r="AB98" s="22">
        <f t="shared" si="35"/>
        <v>163429.57</v>
      </c>
      <c r="AC98" s="9">
        <f t="shared" si="36"/>
        <v>0.59316599999999997</v>
      </c>
      <c r="AD98" s="71">
        <v>107774</v>
      </c>
      <c r="AE98" s="9">
        <f t="shared" si="37"/>
        <v>0.74147700000000005</v>
      </c>
      <c r="AF98" s="9">
        <f t="shared" si="56"/>
        <v>0.36234100000000002</v>
      </c>
      <c r="AG98" s="49">
        <f t="shared" si="38"/>
        <v>0.36234100000000002</v>
      </c>
      <c r="AH98" s="50">
        <f t="shared" si="39"/>
        <v>0</v>
      </c>
      <c r="AI98" s="51">
        <f t="shared" si="50"/>
        <v>0.36234100000000002</v>
      </c>
      <c r="AJ98">
        <v>0</v>
      </c>
      <c r="AK98">
        <v>0</v>
      </c>
      <c r="AL98" s="21">
        <f t="shared" si="51"/>
        <v>0</v>
      </c>
      <c r="AM98">
        <v>0</v>
      </c>
      <c r="AN98">
        <v>0</v>
      </c>
      <c r="AO98" s="21">
        <f t="shared" si="52"/>
        <v>0</v>
      </c>
      <c r="AP98" s="21">
        <f t="shared" si="40"/>
        <v>10149344</v>
      </c>
      <c r="AQ98" s="21">
        <f t="shared" si="53"/>
        <v>10149344</v>
      </c>
      <c r="AR98" s="48">
        <v>11977384</v>
      </c>
      <c r="AS98" s="48">
        <f t="shared" si="57"/>
        <v>10149344</v>
      </c>
      <c r="AT98" s="71">
        <v>12032619</v>
      </c>
      <c r="AU98" s="21">
        <f t="shared" si="58"/>
        <v>1883275</v>
      </c>
      <c r="AV98" s="52" t="str">
        <f t="shared" si="60"/>
        <v>No</v>
      </c>
      <c r="AW98" s="48">
        <f t="shared" si="54"/>
        <v>0</v>
      </c>
      <c r="AX98" s="53">
        <f t="shared" si="55"/>
        <v>12032619</v>
      </c>
      <c r="AY98" s="54">
        <f t="shared" si="59"/>
        <v>12032619</v>
      </c>
      <c r="AZ98" s="55"/>
      <c r="BA98" s="55"/>
      <c r="BB98" s="55"/>
      <c r="BC98" s="55"/>
      <c r="BD98" s="55"/>
    </row>
    <row r="99" spans="1:56" x14ac:dyDescent="0.5">
      <c r="A99" s="5" t="s">
        <v>75</v>
      </c>
      <c r="B99" s="5"/>
      <c r="C99" s="33"/>
      <c r="D99" s="33"/>
      <c r="E99" s="33"/>
      <c r="F99" s="2">
        <v>7</v>
      </c>
      <c r="G99">
        <v>42</v>
      </c>
      <c r="H99" s="5">
        <v>73</v>
      </c>
      <c r="I99" s="2" t="s">
        <v>152</v>
      </c>
      <c r="J99" s="45"/>
      <c r="K99">
        <v>540.39</v>
      </c>
      <c r="L99"/>
      <c r="M99">
        <v>189</v>
      </c>
      <c r="N99" s="46">
        <f t="shared" si="41"/>
        <v>56.7</v>
      </c>
      <c r="O99" s="46">
        <f t="shared" si="42"/>
        <v>324.23</v>
      </c>
      <c r="P99" s="46">
        <f t="shared" si="43"/>
        <v>0</v>
      </c>
      <c r="Q99" s="46">
        <f t="shared" si="44"/>
        <v>0</v>
      </c>
      <c r="R99" s="47">
        <f t="shared" si="45"/>
        <v>0.35</v>
      </c>
      <c r="S99" s="47">
        <f t="shared" si="33"/>
        <v>0</v>
      </c>
      <c r="T99" s="46">
        <f t="shared" si="34"/>
        <v>0</v>
      </c>
      <c r="U99" s="46">
        <f t="shared" si="46"/>
        <v>0</v>
      </c>
      <c r="V99">
        <v>12</v>
      </c>
      <c r="W99" s="46">
        <f t="shared" si="47"/>
        <v>3</v>
      </c>
      <c r="X99" s="22">
        <f t="shared" si="48"/>
        <v>56.7</v>
      </c>
      <c r="Y99" s="10">
        <f t="shared" si="49"/>
        <v>600.09</v>
      </c>
      <c r="Z99" s="72">
        <v>796006603.66999996</v>
      </c>
      <c r="AA99" s="71">
        <v>4213</v>
      </c>
      <c r="AB99" s="22">
        <f t="shared" si="35"/>
        <v>188940.57</v>
      </c>
      <c r="AC99" s="9">
        <f t="shared" si="36"/>
        <v>0.68575799999999998</v>
      </c>
      <c r="AD99" s="71">
        <v>94302</v>
      </c>
      <c r="AE99" s="9">
        <f t="shared" si="37"/>
        <v>0.64879100000000001</v>
      </c>
      <c r="AF99" s="9">
        <f t="shared" si="56"/>
        <v>0.32533200000000001</v>
      </c>
      <c r="AG99" s="49">
        <f t="shared" si="38"/>
        <v>0.32533200000000001</v>
      </c>
      <c r="AH99" s="50">
        <f t="shared" si="39"/>
        <v>0</v>
      </c>
      <c r="AI99" s="51">
        <f t="shared" si="50"/>
        <v>0.32533200000000001</v>
      </c>
      <c r="AJ99">
        <v>0</v>
      </c>
      <c r="AK99">
        <v>0</v>
      </c>
      <c r="AL99" s="21">
        <f t="shared" si="51"/>
        <v>0</v>
      </c>
      <c r="AM99">
        <v>100</v>
      </c>
      <c r="AN99">
        <v>4</v>
      </c>
      <c r="AO99" s="21">
        <f t="shared" si="52"/>
        <v>40000</v>
      </c>
      <c r="AP99" s="21">
        <f t="shared" si="40"/>
        <v>2250008</v>
      </c>
      <c r="AQ99" s="21">
        <f t="shared" si="53"/>
        <v>2290008</v>
      </c>
      <c r="AR99" s="48">
        <v>3518715</v>
      </c>
      <c r="AS99" s="48">
        <f t="shared" si="57"/>
        <v>2290008</v>
      </c>
      <c r="AT99" s="71">
        <v>2899516</v>
      </c>
      <c r="AU99" s="21">
        <f t="shared" si="58"/>
        <v>609508</v>
      </c>
      <c r="AV99" s="52" t="str">
        <f t="shared" si="60"/>
        <v>No</v>
      </c>
      <c r="AW99" s="48">
        <f t="shared" si="54"/>
        <v>0</v>
      </c>
      <c r="AX99" s="53">
        <f t="shared" si="55"/>
        <v>2899516</v>
      </c>
      <c r="AY99" s="54">
        <f t="shared" si="59"/>
        <v>2899516</v>
      </c>
      <c r="AZ99" s="55"/>
      <c r="BA99" s="55"/>
      <c r="BB99" s="55"/>
      <c r="BC99" s="55"/>
      <c r="BD99" s="55"/>
    </row>
    <row r="100" spans="1:56" x14ac:dyDescent="0.5">
      <c r="A100" s="5" t="s">
        <v>75</v>
      </c>
      <c r="B100" s="5"/>
      <c r="C100" s="33"/>
      <c r="D100" s="33"/>
      <c r="E100" s="33"/>
      <c r="F100" s="2">
        <v>4</v>
      </c>
      <c r="G100">
        <v>0</v>
      </c>
      <c r="H100" s="5">
        <v>74</v>
      </c>
      <c r="I100" s="2" t="s">
        <v>153</v>
      </c>
      <c r="J100" s="45"/>
      <c r="K100">
        <v>789.12</v>
      </c>
      <c r="L100"/>
      <c r="M100">
        <v>205</v>
      </c>
      <c r="N100" s="46">
        <f t="shared" si="41"/>
        <v>61.5</v>
      </c>
      <c r="O100" s="46">
        <f t="shared" si="42"/>
        <v>473.47</v>
      </c>
      <c r="P100" s="46">
        <f t="shared" si="43"/>
        <v>0</v>
      </c>
      <c r="Q100" s="46">
        <f t="shared" si="44"/>
        <v>0</v>
      </c>
      <c r="R100" s="47">
        <f t="shared" si="45"/>
        <v>0.26</v>
      </c>
      <c r="S100" s="47">
        <f t="shared" si="33"/>
        <v>0</v>
      </c>
      <c r="T100" s="46">
        <f t="shared" si="34"/>
        <v>0</v>
      </c>
      <c r="U100" s="46">
        <f t="shared" si="46"/>
        <v>0</v>
      </c>
      <c r="V100">
        <v>5</v>
      </c>
      <c r="W100" s="46">
        <f t="shared" si="47"/>
        <v>1.25</v>
      </c>
      <c r="X100" s="22">
        <f t="shared" si="48"/>
        <v>61.5</v>
      </c>
      <c r="Y100" s="10">
        <f t="shared" si="49"/>
        <v>851.87</v>
      </c>
      <c r="Z100" s="72">
        <v>2229512997</v>
      </c>
      <c r="AA100" s="71">
        <v>8249</v>
      </c>
      <c r="AB100" s="22">
        <f t="shared" si="35"/>
        <v>270276.76</v>
      </c>
      <c r="AC100" s="9">
        <f t="shared" si="36"/>
        <v>0.98096700000000003</v>
      </c>
      <c r="AD100" s="71">
        <v>106912</v>
      </c>
      <c r="AE100" s="9">
        <f t="shared" si="37"/>
        <v>0.73554600000000003</v>
      </c>
      <c r="AF100" s="9">
        <f t="shared" si="56"/>
        <v>9.2659000000000005E-2</v>
      </c>
      <c r="AG100" s="49">
        <f t="shared" si="38"/>
        <v>9.2659000000000005E-2</v>
      </c>
      <c r="AH100" s="50">
        <f t="shared" si="39"/>
        <v>0</v>
      </c>
      <c r="AI100" s="51">
        <f t="shared" si="50"/>
        <v>9.2659000000000005E-2</v>
      </c>
      <c r="AJ100">
        <v>786</v>
      </c>
      <c r="AK100">
        <v>13</v>
      </c>
      <c r="AL100" s="21">
        <f t="shared" si="51"/>
        <v>1021800</v>
      </c>
      <c r="AM100">
        <v>0</v>
      </c>
      <c r="AN100">
        <v>0</v>
      </c>
      <c r="AO100" s="21">
        <f t="shared" si="52"/>
        <v>0</v>
      </c>
      <c r="AP100" s="21">
        <f t="shared" si="40"/>
        <v>909708</v>
      </c>
      <c r="AQ100" s="21">
        <f t="shared" si="53"/>
        <v>1931508</v>
      </c>
      <c r="AR100" s="48">
        <v>1446598</v>
      </c>
      <c r="AS100" s="48">
        <f t="shared" si="57"/>
        <v>1931508</v>
      </c>
      <c r="AT100" s="71">
        <v>1557217</v>
      </c>
      <c r="AU100" s="21">
        <f t="shared" si="58"/>
        <v>374291</v>
      </c>
      <c r="AV100" s="52" t="str">
        <f t="shared" si="60"/>
        <v>Yes</v>
      </c>
      <c r="AW100" s="48">
        <f t="shared" si="54"/>
        <v>374291</v>
      </c>
      <c r="AX100" s="53">
        <f t="shared" si="55"/>
        <v>1931508</v>
      </c>
      <c r="AY100" s="54">
        <f t="shared" si="59"/>
        <v>1931508</v>
      </c>
      <c r="AZ100" s="55"/>
      <c r="BA100" s="55"/>
      <c r="BB100" s="55"/>
      <c r="BC100" s="55"/>
      <c r="BD100" s="55"/>
    </row>
    <row r="101" spans="1:56" x14ac:dyDescent="0.5">
      <c r="A101" s="5" t="s">
        <v>71</v>
      </c>
      <c r="B101" s="5"/>
      <c r="C101" s="33"/>
      <c r="D101" s="33"/>
      <c r="E101" s="33"/>
      <c r="F101" s="2">
        <v>1</v>
      </c>
      <c r="G101">
        <v>0</v>
      </c>
      <c r="H101" s="5">
        <v>75</v>
      </c>
      <c r="I101" s="2" t="s">
        <v>154</v>
      </c>
      <c r="J101" s="45"/>
      <c r="K101">
        <v>212.55</v>
      </c>
      <c r="L101"/>
      <c r="M101">
        <v>32</v>
      </c>
      <c r="N101" s="46">
        <f t="shared" si="41"/>
        <v>9.6</v>
      </c>
      <c r="O101" s="46">
        <f t="shared" si="42"/>
        <v>127.53</v>
      </c>
      <c r="P101" s="46">
        <f t="shared" si="43"/>
        <v>0</v>
      </c>
      <c r="Q101" s="46">
        <f t="shared" si="44"/>
        <v>0</v>
      </c>
      <c r="R101" s="47">
        <f t="shared" si="45"/>
        <v>0.15</v>
      </c>
      <c r="S101" s="47">
        <f t="shared" si="33"/>
        <v>0</v>
      </c>
      <c r="T101" s="46">
        <f t="shared" si="34"/>
        <v>0</v>
      </c>
      <c r="U101" s="46">
        <f t="shared" si="46"/>
        <v>0</v>
      </c>
      <c r="V101">
        <v>2</v>
      </c>
      <c r="W101" s="46">
        <f t="shared" si="47"/>
        <v>0.5</v>
      </c>
      <c r="X101" s="22">
        <f t="shared" si="48"/>
        <v>9.6</v>
      </c>
      <c r="Y101" s="10">
        <f t="shared" si="49"/>
        <v>222.65</v>
      </c>
      <c r="Z101" s="72">
        <v>1051820854.33</v>
      </c>
      <c r="AA101" s="71">
        <v>2356</v>
      </c>
      <c r="AB101" s="22">
        <f t="shared" si="35"/>
        <v>446443.49</v>
      </c>
      <c r="AC101" s="9">
        <f t="shared" si="36"/>
        <v>1.6203620000000001</v>
      </c>
      <c r="AD101" s="71">
        <v>139000</v>
      </c>
      <c r="AE101" s="9">
        <f t="shared" si="37"/>
        <v>0.95630899999999996</v>
      </c>
      <c r="AF101" s="9">
        <f t="shared" si="56"/>
        <v>-0.42114600000000002</v>
      </c>
      <c r="AG101" s="49">
        <f t="shared" si="38"/>
        <v>0.01</v>
      </c>
      <c r="AH101" s="50">
        <f t="shared" si="39"/>
        <v>0</v>
      </c>
      <c r="AI101" s="51">
        <f t="shared" si="50"/>
        <v>0.01</v>
      </c>
      <c r="AJ101">
        <v>209</v>
      </c>
      <c r="AK101">
        <v>13</v>
      </c>
      <c r="AL101" s="21">
        <f t="shared" si="51"/>
        <v>271700</v>
      </c>
      <c r="AM101">
        <v>0</v>
      </c>
      <c r="AN101">
        <v>0</v>
      </c>
      <c r="AO101" s="21">
        <f t="shared" si="52"/>
        <v>0</v>
      </c>
      <c r="AP101" s="21">
        <f t="shared" si="40"/>
        <v>25660</v>
      </c>
      <c r="AQ101" s="21">
        <f t="shared" si="53"/>
        <v>297360</v>
      </c>
      <c r="AR101" s="48">
        <v>63069</v>
      </c>
      <c r="AS101" s="48">
        <f t="shared" si="57"/>
        <v>297360</v>
      </c>
      <c r="AT101" s="71">
        <v>321391</v>
      </c>
      <c r="AU101" s="21">
        <f t="shared" si="58"/>
        <v>24031</v>
      </c>
      <c r="AV101" s="52" t="str">
        <f t="shared" si="60"/>
        <v>No</v>
      </c>
      <c r="AW101" s="48">
        <f t="shared" si="54"/>
        <v>0</v>
      </c>
      <c r="AX101" s="53">
        <f t="shared" si="55"/>
        <v>321391</v>
      </c>
      <c r="AY101" s="54">
        <f t="shared" si="59"/>
        <v>321391</v>
      </c>
      <c r="AZ101" s="55"/>
      <c r="BA101" s="55"/>
      <c r="BB101" s="55"/>
      <c r="BC101" s="55"/>
      <c r="BD101" s="55"/>
    </row>
    <row r="102" spans="1:56" x14ac:dyDescent="0.5">
      <c r="A102" s="5" t="s">
        <v>77</v>
      </c>
      <c r="B102" s="5"/>
      <c r="C102" s="33"/>
      <c r="D102" s="33"/>
      <c r="E102" s="33"/>
      <c r="F102" s="2">
        <v>2</v>
      </c>
      <c r="G102">
        <v>0</v>
      </c>
      <c r="H102" s="5">
        <v>76</v>
      </c>
      <c r="I102" s="2" t="s">
        <v>155</v>
      </c>
      <c r="J102" s="45"/>
      <c r="K102">
        <v>2454.39</v>
      </c>
      <c r="L102"/>
      <c r="M102">
        <v>115</v>
      </c>
      <c r="N102" s="46">
        <f t="shared" si="41"/>
        <v>34.5</v>
      </c>
      <c r="O102" s="46">
        <f t="shared" si="42"/>
        <v>1472.63</v>
      </c>
      <c r="P102" s="46">
        <f t="shared" si="43"/>
        <v>0</v>
      </c>
      <c r="Q102" s="46">
        <f t="shared" si="44"/>
        <v>0</v>
      </c>
      <c r="R102" s="47">
        <f t="shared" si="45"/>
        <v>0.05</v>
      </c>
      <c r="S102" s="47">
        <f t="shared" si="33"/>
        <v>0</v>
      </c>
      <c r="T102" s="46">
        <f t="shared" si="34"/>
        <v>0</v>
      </c>
      <c r="U102" s="46">
        <f t="shared" si="46"/>
        <v>0</v>
      </c>
      <c r="V102">
        <v>33</v>
      </c>
      <c r="W102" s="46">
        <f t="shared" si="47"/>
        <v>8.25</v>
      </c>
      <c r="X102" s="22">
        <f t="shared" si="48"/>
        <v>34.5</v>
      </c>
      <c r="Y102" s="10">
        <f t="shared" si="49"/>
        <v>2497.14</v>
      </c>
      <c r="Z102" s="72">
        <v>6094028849.6700001</v>
      </c>
      <c r="AA102" s="71">
        <v>17577</v>
      </c>
      <c r="AB102" s="22">
        <f t="shared" si="35"/>
        <v>346704.72</v>
      </c>
      <c r="AC102" s="9">
        <f t="shared" si="36"/>
        <v>1.2583610000000001</v>
      </c>
      <c r="AD102" s="71">
        <v>168341</v>
      </c>
      <c r="AE102" s="9">
        <f t="shared" si="37"/>
        <v>1.1581729999999999</v>
      </c>
      <c r="AF102" s="9">
        <f t="shared" si="56"/>
        <v>-0.22830500000000001</v>
      </c>
      <c r="AG102" s="49">
        <f t="shared" si="38"/>
        <v>0.01</v>
      </c>
      <c r="AH102" s="50">
        <f t="shared" si="39"/>
        <v>0</v>
      </c>
      <c r="AI102" s="51">
        <f t="shared" si="50"/>
        <v>0.01</v>
      </c>
      <c r="AJ102">
        <v>0</v>
      </c>
      <c r="AK102">
        <v>0</v>
      </c>
      <c r="AL102" s="21">
        <f t="shared" si="51"/>
        <v>0</v>
      </c>
      <c r="AM102">
        <v>0</v>
      </c>
      <c r="AN102">
        <v>0</v>
      </c>
      <c r="AO102" s="21">
        <f t="shared" si="52"/>
        <v>0</v>
      </c>
      <c r="AP102" s="21">
        <f t="shared" si="40"/>
        <v>287795</v>
      </c>
      <c r="AQ102" s="21">
        <f t="shared" si="53"/>
        <v>287795</v>
      </c>
      <c r="AR102" s="48">
        <v>446496</v>
      </c>
      <c r="AS102" s="48">
        <f t="shared" si="57"/>
        <v>287795</v>
      </c>
      <c r="AT102" s="71">
        <v>395466</v>
      </c>
      <c r="AU102" s="21">
        <f t="shared" si="58"/>
        <v>107671</v>
      </c>
      <c r="AV102" s="52" t="str">
        <f t="shared" si="60"/>
        <v>No</v>
      </c>
      <c r="AW102" s="48">
        <f t="shared" si="54"/>
        <v>0</v>
      </c>
      <c r="AX102" s="53">
        <f t="shared" si="55"/>
        <v>395466</v>
      </c>
      <c r="AY102" s="54">
        <f t="shared" si="59"/>
        <v>395466</v>
      </c>
      <c r="AZ102" s="55"/>
      <c r="BA102" s="55"/>
      <c r="BB102" s="55"/>
      <c r="BC102" s="55"/>
      <c r="BD102" s="55"/>
    </row>
    <row r="103" spans="1:56" x14ac:dyDescent="0.5">
      <c r="A103" s="5" t="s">
        <v>86</v>
      </c>
      <c r="B103" s="58">
        <v>1</v>
      </c>
      <c r="C103" s="33">
        <v>1</v>
      </c>
      <c r="D103" s="33">
        <v>0</v>
      </c>
      <c r="E103" s="33">
        <v>1</v>
      </c>
      <c r="F103" s="2">
        <v>9</v>
      </c>
      <c r="G103">
        <v>13</v>
      </c>
      <c r="H103" s="5">
        <v>77</v>
      </c>
      <c r="I103" s="2" t="s">
        <v>156</v>
      </c>
      <c r="J103" s="45"/>
      <c r="K103">
        <v>7184.4</v>
      </c>
      <c r="L103"/>
      <c r="M103">
        <v>4412</v>
      </c>
      <c r="N103" s="46">
        <f t="shared" si="41"/>
        <v>1323.6</v>
      </c>
      <c r="O103" s="46">
        <f t="shared" si="42"/>
        <v>4310.6400000000003</v>
      </c>
      <c r="P103" s="46">
        <f t="shared" si="43"/>
        <v>101.35999999999967</v>
      </c>
      <c r="Q103" s="46">
        <f t="shared" si="44"/>
        <v>15.2</v>
      </c>
      <c r="R103" s="47">
        <f t="shared" si="45"/>
        <v>0.61</v>
      </c>
      <c r="S103" s="47">
        <f t="shared" si="33"/>
        <v>1.0000000000000009E-2</v>
      </c>
      <c r="T103" s="46">
        <f t="shared" si="34"/>
        <v>71.84</v>
      </c>
      <c r="U103" s="46">
        <f t="shared" si="46"/>
        <v>10.78</v>
      </c>
      <c r="V103">
        <v>644</v>
      </c>
      <c r="W103" s="46">
        <f t="shared" si="47"/>
        <v>161</v>
      </c>
      <c r="X103" s="22">
        <f t="shared" si="48"/>
        <v>1323.6</v>
      </c>
      <c r="Y103" s="10">
        <f t="shared" si="49"/>
        <v>8684.2000000000007</v>
      </c>
      <c r="Z103" s="72">
        <v>8401473886.6700001</v>
      </c>
      <c r="AA103" s="71">
        <v>59473</v>
      </c>
      <c r="AB103" s="22">
        <f t="shared" si="35"/>
        <v>141265.35</v>
      </c>
      <c r="AC103" s="9">
        <f t="shared" si="36"/>
        <v>0.51272099999999998</v>
      </c>
      <c r="AD103" s="71">
        <v>87213</v>
      </c>
      <c r="AE103" s="9">
        <f t="shared" si="37"/>
        <v>0.60001899999999997</v>
      </c>
      <c r="AF103" s="9">
        <f t="shared" si="56"/>
        <v>0.46109</v>
      </c>
      <c r="AG103" s="49">
        <f t="shared" si="38"/>
        <v>0.46109</v>
      </c>
      <c r="AH103" s="50">
        <f t="shared" si="39"/>
        <v>0.04</v>
      </c>
      <c r="AI103" s="51">
        <f t="shared" si="50"/>
        <v>0.50109000000000004</v>
      </c>
      <c r="AJ103">
        <v>0</v>
      </c>
      <c r="AK103">
        <v>0</v>
      </c>
      <c r="AL103" s="21">
        <f t="shared" si="51"/>
        <v>0</v>
      </c>
      <c r="AM103">
        <v>0</v>
      </c>
      <c r="AN103">
        <v>0</v>
      </c>
      <c r="AO103" s="21">
        <f t="shared" si="52"/>
        <v>0</v>
      </c>
      <c r="AP103" s="21">
        <f t="shared" si="40"/>
        <v>50151796</v>
      </c>
      <c r="AQ103" s="21">
        <f t="shared" si="53"/>
        <v>50151796</v>
      </c>
      <c r="AR103" s="48">
        <v>34440424</v>
      </c>
      <c r="AS103" s="48">
        <f t="shared" si="57"/>
        <v>51701477</v>
      </c>
      <c r="AT103" s="71">
        <v>51701477</v>
      </c>
      <c r="AU103" s="21">
        <f t="shared" si="58"/>
        <v>1549681</v>
      </c>
      <c r="AV103" s="52" t="str">
        <f t="shared" si="60"/>
        <v>No</v>
      </c>
      <c r="AW103" s="48">
        <f t="shared" si="54"/>
        <v>0</v>
      </c>
      <c r="AX103" s="53">
        <f t="shared" si="55"/>
        <v>51701477</v>
      </c>
      <c r="AY103" s="54">
        <f t="shared" si="59"/>
        <v>51701477</v>
      </c>
      <c r="AZ103" s="55"/>
      <c r="BA103" s="55"/>
      <c r="BB103" s="55"/>
      <c r="BC103" s="55"/>
      <c r="BD103" s="55"/>
    </row>
    <row r="104" spans="1:56" x14ac:dyDescent="0.5">
      <c r="A104" s="5" t="s">
        <v>71</v>
      </c>
      <c r="B104" s="5"/>
      <c r="C104" s="33"/>
      <c r="D104" s="33"/>
      <c r="E104" s="33"/>
      <c r="F104" s="2">
        <v>8</v>
      </c>
      <c r="G104">
        <v>32</v>
      </c>
      <c r="H104" s="5">
        <v>78</v>
      </c>
      <c r="I104" s="2" t="s">
        <v>157</v>
      </c>
      <c r="J104" s="45"/>
      <c r="K104">
        <v>1432.21</v>
      </c>
      <c r="L104"/>
      <c r="M104">
        <v>456</v>
      </c>
      <c r="N104" s="46">
        <f t="shared" si="41"/>
        <v>136.80000000000001</v>
      </c>
      <c r="O104" s="46">
        <f t="shared" si="42"/>
        <v>859.33</v>
      </c>
      <c r="P104" s="46">
        <f t="shared" si="43"/>
        <v>0</v>
      </c>
      <c r="Q104" s="46">
        <f t="shared" si="44"/>
        <v>0</v>
      </c>
      <c r="R104" s="47">
        <f t="shared" si="45"/>
        <v>0.32</v>
      </c>
      <c r="S104" s="47">
        <f t="shared" si="33"/>
        <v>0</v>
      </c>
      <c r="T104" s="46">
        <f t="shared" si="34"/>
        <v>0</v>
      </c>
      <c r="U104" s="46">
        <f t="shared" si="46"/>
        <v>0</v>
      </c>
      <c r="V104">
        <v>74</v>
      </c>
      <c r="W104" s="46">
        <f t="shared" si="47"/>
        <v>18.5</v>
      </c>
      <c r="X104" s="22">
        <f t="shared" si="48"/>
        <v>136.80000000000001</v>
      </c>
      <c r="Y104" s="10">
        <f t="shared" si="49"/>
        <v>1587.51</v>
      </c>
      <c r="Z104" s="72">
        <v>2382966005</v>
      </c>
      <c r="AA104" s="71">
        <v>10792</v>
      </c>
      <c r="AB104" s="22">
        <f t="shared" si="35"/>
        <v>220808.56</v>
      </c>
      <c r="AC104" s="9">
        <f t="shared" si="36"/>
        <v>0.80142199999999997</v>
      </c>
      <c r="AD104" s="71">
        <v>67321</v>
      </c>
      <c r="AE104" s="9">
        <f t="shared" si="37"/>
        <v>0.46316299999999999</v>
      </c>
      <c r="AF104" s="9">
        <f t="shared" si="56"/>
        <v>0.30005599999999999</v>
      </c>
      <c r="AG104" s="49">
        <f t="shared" si="38"/>
        <v>0.30005599999999999</v>
      </c>
      <c r="AH104" s="50">
        <f t="shared" si="39"/>
        <v>0</v>
      </c>
      <c r="AI104" s="51">
        <f t="shared" si="50"/>
        <v>0.30005599999999999</v>
      </c>
      <c r="AJ104">
        <v>461</v>
      </c>
      <c r="AK104">
        <v>4</v>
      </c>
      <c r="AL104" s="21">
        <f t="shared" si="51"/>
        <v>184400</v>
      </c>
      <c r="AM104">
        <v>0</v>
      </c>
      <c r="AN104">
        <v>0</v>
      </c>
      <c r="AO104" s="21">
        <f t="shared" si="52"/>
        <v>0</v>
      </c>
      <c r="AP104" s="21">
        <f t="shared" si="40"/>
        <v>5489840</v>
      </c>
      <c r="AQ104" s="21">
        <f t="shared" si="53"/>
        <v>5674240</v>
      </c>
      <c r="AR104" s="48">
        <v>9947410</v>
      </c>
      <c r="AS104" s="48">
        <f t="shared" si="57"/>
        <v>5674240</v>
      </c>
      <c r="AT104" s="71">
        <v>13112190</v>
      </c>
      <c r="AU104" s="21">
        <f t="shared" si="58"/>
        <v>7437950</v>
      </c>
      <c r="AV104" s="52" t="str">
        <f t="shared" si="60"/>
        <v>No</v>
      </c>
      <c r="AW104" s="48">
        <f t="shared" si="54"/>
        <v>0</v>
      </c>
      <c r="AX104" s="53">
        <f t="shared" si="55"/>
        <v>13112190</v>
      </c>
      <c r="AY104" s="54">
        <f t="shared" si="59"/>
        <v>13112190</v>
      </c>
      <c r="AZ104" s="55"/>
      <c r="BA104" s="55"/>
      <c r="BB104" s="55"/>
      <c r="BC104" s="55"/>
      <c r="BD104" s="55"/>
    </row>
    <row r="105" spans="1:56" x14ac:dyDescent="0.5">
      <c r="A105" s="5" t="s">
        <v>71</v>
      </c>
      <c r="B105" s="5"/>
      <c r="C105" s="33"/>
      <c r="D105" s="33"/>
      <c r="E105" s="33"/>
      <c r="F105" s="2">
        <v>4</v>
      </c>
      <c r="G105">
        <v>0</v>
      </c>
      <c r="H105" s="5">
        <v>79</v>
      </c>
      <c r="I105" s="2" t="s">
        <v>158</v>
      </c>
      <c r="J105" s="45"/>
      <c r="K105">
        <v>819.21</v>
      </c>
      <c r="L105"/>
      <c r="M105">
        <v>158</v>
      </c>
      <c r="N105" s="46">
        <f t="shared" si="41"/>
        <v>47.4</v>
      </c>
      <c r="O105" s="46">
        <f t="shared" si="42"/>
        <v>491.53</v>
      </c>
      <c r="P105" s="46">
        <f t="shared" si="43"/>
        <v>0</v>
      </c>
      <c r="Q105" s="46">
        <f t="shared" si="44"/>
        <v>0</v>
      </c>
      <c r="R105" s="47">
        <f t="shared" si="45"/>
        <v>0.19</v>
      </c>
      <c r="S105" s="47">
        <f t="shared" si="33"/>
        <v>0</v>
      </c>
      <c r="T105" s="46">
        <f t="shared" si="34"/>
        <v>0</v>
      </c>
      <c r="U105" s="46">
        <f t="shared" si="46"/>
        <v>0</v>
      </c>
      <c r="V105">
        <v>11</v>
      </c>
      <c r="W105" s="46">
        <f t="shared" si="47"/>
        <v>2.75</v>
      </c>
      <c r="X105" s="22">
        <f t="shared" si="48"/>
        <v>47.4</v>
      </c>
      <c r="Y105" s="10">
        <f t="shared" si="49"/>
        <v>869.36</v>
      </c>
      <c r="Z105" s="72">
        <v>1203615892</v>
      </c>
      <c r="AA105" s="71">
        <v>6106</v>
      </c>
      <c r="AB105" s="22">
        <f t="shared" si="35"/>
        <v>197120.19</v>
      </c>
      <c r="AC105" s="9">
        <f t="shared" si="36"/>
        <v>0.71544600000000003</v>
      </c>
      <c r="AD105" s="71">
        <v>140022</v>
      </c>
      <c r="AE105" s="9">
        <f t="shared" si="37"/>
        <v>0.963341</v>
      </c>
      <c r="AF105" s="9">
        <f t="shared" si="56"/>
        <v>0.21018600000000001</v>
      </c>
      <c r="AG105" s="49">
        <f t="shared" si="38"/>
        <v>0.21018600000000001</v>
      </c>
      <c r="AH105" s="50">
        <f t="shared" si="39"/>
        <v>0</v>
      </c>
      <c r="AI105" s="51">
        <f t="shared" si="50"/>
        <v>0.21018600000000001</v>
      </c>
      <c r="AJ105">
        <v>356</v>
      </c>
      <c r="AK105">
        <v>6</v>
      </c>
      <c r="AL105" s="21">
        <f t="shared" si="51"/>
        <v>213600</v>
      </c>
      <c r="AM105">
        <v>0</v>
      </c>
      <c r="AN105">
        <v>0</v>
      </c>
      <c r="AO105" s="21">
        <f t="shared" si="52"/>
        <v>0</v>
      </c>
      <c r="AP105" s="21">
        <f t="shared" si="40"/>
        <v>2105932</v>
      </c>
      <c r="AQ105" s="21">
        <f t="shared" si="53"/>
        <v>2319532</v>
      </c>
      <c r="AR105" s="48">
        <v>3154015</v>
      </c>
      <c r="AS105" s="48">
        <f t="shared" si="57"/>
        <v>2319532</v>
      </c>
      <c r="AT105" s="71">
        <v>2952086</v>
      </c>
      <c r="AU105" s="21">
        <f t="shared" si="58"/>
        <v>632554</v>
      </c>
      <c r="AV105" s="52" t="str">
        <f t="shared" si="60"/>
        <v>No</v>
      </c>
      <c r="AW105" s="48">
        <f t="shared" si="54"/>
        <v>0</v>
      </c>
      <c r="AX105" s="53">
        <f t="shared" si="55"/>
        <v>2952086</v>
      </c>
      <c r="AY105" s="54">
        <f t="shared" si="59"/>
        <v>2952086</v>
      </c>
      <c r="AZ105" s="55"/>
      <c r="BA105" s="55"/>
      <c r="BB105" s="55"/>
      <c r="BC105" s="55"/>
      <c r="BD105" s="55"/>
    </row>
    <row r="106" spans="1:56" x14ac:dyDescent="0.5">
      <c r="A106" s="5" t="s">
        <v>73</v>
      </c>
      <c r="B106" s="5">
        <v>1</v>
      </c>
      <c r="C106" s="33">
        <v>1</v>
      </c>
      <c r="D106" s="33">
        <v>1</v>
      </c>
      <c r="E106" s="33">
        <v>0</v>
      </c>
      <c r="F106" s="2">
        <v>10</v>
      </c>
      <c r="G106">
        <v>8</v>
      </c>
      <c r="H106" s="5">
        <v>80</v>
      </c>
      <c r="I106" s="2" t="s">
        <v>159</v>
      </c>
      <c r="J106" s="45"/>
      <c r="K106">
        <v>8638.8799999999992</v>
      </c>
      <c r="L106"/>
      <c r="M106">
        <v>6705</v>
      </c>
      <c r="N106" s="46">
        <f t="shared" si="41"/>
        <v>2011.5</v>
      </c>
      <c r="O106" s="46">
        <f t="shared" si="42"/>
        <v>5183.33</v>
      </c>
      <c r="P106" s="46">
        <f t="shared" si="43"/>
        <v>1521.67</v>
      </c>
      <c r="Q106" s="46">
        <f t="shared" si="44"/>
        <v>228.25</v>
      </c>
      <c r="R106" s="47">
        <f t="shared" si="45"/>
        <v>0.78</v>
      </c>
      <c r="S106" s="47">
        <f t="shared" si="33"/>
        <v>0.18000000000000005</v>
      </c>
      <c r="T106" s="46">
        <f t="shared" si="34"/>
        <v>1555</v>
      </c>
      <c r="U106" s="46">
        <f t="shared" si="46"/>
        <v>233.25</v>
      </c>
      <c r="V106">
        <v>1694</v>
      </c>
      <c r="W106" s="46">
        <f t="shared" si="47"/>
        <v>423.5</v>
      </c>
      <c r="X106" s="22">
        <f t="shared" si="48"/>
        <v>2011.5</v>
      </c>
      <c r="Y106" s="10">
        <f t="shared" si="49"/>
        <v>11302.13</v>
      </c>
      <c r="Z106" s="72">
        <v>6896803736.6700001</v>
      </c>
      <c r="AA106" s="71">
        <v>60418</v>
      </c>
      <c r="AB106" s="22">
        <f t="shared" si="35"/>
        <v>114151.47</v>
      </c>
      <c r="AC106" s="9">
        <f t="shared" si="36"/>
        <v>0.41431200000000001</v>
      </c>
      <c r="AD106" s="71">
        <v>68617</v>
      </c>
      <c r="AE106" s="9">
        <f t="shared" si="37"/>
        <v>0.47208</v>
      </c>
      <c r="AF106" s="9">
        <f t="shared" si="56"/>
        <v>0.56835800000000003</v>
      </c>
      <c r="AG106" s="49">
        <f t="shared" si="38"/>
        <v>0.56835800000000003</v>
      </c>
      <c r="AH106" s="50">
        <f t="shared" si="39"/>
        <v>0.05</v>
      </c>
      <c r="AI106" s="51">
        <f t="shared" si="50"/>
        <v>0.61835800000000007</v>
      </c>
      <c r="AJ106">
        <v>0</v>
      </c>
      <c r="AK106">
        <v>0</v>
      </c>
      <c r="AL106" s="21">
        <f t="shared" si="51"/>
        <v>0</v>
      </c>
      <c r="AM106">
        <v>0</v>
      </c>
      <c r="AN106">
        <v>0</v>
      </c>
      <c r="AO106" s="21">
        <f t="shared" si="52"/>
        <v>0</v>
      </c>
      <c r="AP106" s="21">
        <f t="shared" si="40"/>
        <v>80545488</v>
      </c>
      <c r="AQ106" s="21">
        <f t="shared" si="53"/>
        <v>80545488</v>
      </c>
      <c r="AR106" s="48">
        <v>60258395</v>
      </c>
      <c r="AS106" s="48">
        <f t="shared" si="57"/>
        <v>83706615</v>
      </c>
      <c r="AT106" s="71">
        <v>83706615</v>
      </c>
      <c r="AU106" s="21">
        <f t="shared" si="58"/>
        <v>3161127</v>
      </c>
      <c r="AV106" s="52" t="str">
        <f t="shared" si="60"/>
        <v>No</v>
      </c>
      <c r="AW106" s="48">
        <f t="shared" si="54"/>
        <v>0</v>
      </c>
      <c r="AX106" s="53">
        <f t="shared" si="55"/>
        <v>83706615</v>
      </c>
      <c r="AY106" s="54">
        <f t="shared" si="59"/>
        <v>83706615</v>
      </c>
      <c r="AZ106" s="55"/>
      <c r="BA106" s="55"/>
      <c r="BB106" s="55"/>
      <c r="BC106" s="55"/>
      <c r="BD106" s="55"/>
    </row>
    <row r="107" spans="1:56" x14ac:dyDescent="0.5">
      <c r="A107" s="5" t="s">
        <v>77</v>
      </c>
      <c r="B107" s="5"/>
      <c r="C107" s="33"/>
      <c r="D107" s="33"/>
      <c r="E107" s="33"/>
      <c r="F107" s="2">
        <v>3</v>
      </c>
      <c r="G107">
        <v>0</v>
      </c>
      <c r="H107" s="5">
        <v>81</v>
      </c>
      <c r="I107" s="2" t="s">
        <v>160</v>
      </c>
      <c r="J107" s="45"/>
      <c r="K107">
        <v>1124.33</v>
      </c>
      <c r="L107"/>
      <c r="M107">
        <v>174</v>
      </c>
      <c r="N107" s="46">
        <f t="shared" si="41"/>
        <v>52.2</v>
      </c>
      <c r="O107" s="46">
        <f t="shared" si="42"/>
        <v>674.6</v>
      </c>
      <c r="P107" s="46">
        <f t="shared" si="43"/>
        <v>0</v>
      </c>
      <c r="Q107" s="46">
        <f t="shared" si="44"/>
        <v>0</v>
      </c>
      <c r="R107" s="47">
        <f t="shared" si="45"/>
        <v>0.15</v>
      </c>
      <c r="S107" s="47">
        <f t="shared" si="33"/>
        <v>0</v>
      </c>
      <c r="T107" s="46">
        <f t="shared" si="34"/>
        <v>0</v>
      </c>
      <c r="U107" s="46">
        <f t="shared" si="46"/>
        <v>0</v>
      </c>
      <c r="V107">
        <v>25</v>
      </c>
      <c r="W107" s="46">
        <f t="shared" si="47"/>
        <v>6.25</v>
      </c>
      <c r="X107" s="22">
        <f t="shared" si="48"/>
        <v>52.2</v>
      </c>
      <c r="Y107" s="10">
        <f t="shared" si="49"/>
        <v>1182.78</v>
      </c>
      <c r="Z107" s="72">
        <v>1929109379.3299999</v>
      </c>
      <c r="AA107" s="71">
        <v>7736</v>
      </c>
      <c r="AB107" s="22">
        <f t="shared" si="35"/>
        <v>249367.81</v>
      </c>
      <c r="AC107" s="9">
        <f t="shared" si="36"/>
        <v>0.90507800000000005</v>
      </c>
      <c r="AD107" s="71">
        <v>142750</v>
      </c>
      <c r="AE107" s="9">
        <f t="shared" si="37"/>
        <v>0.98210900000000001</v>
      </c>
      <c r="AF107" s="9">
        <f t="shared" si="56"/>
        <v>7.1813000000000002E-2</v>
      </c>
      <c r="AG107" s="49">
        <f t="shared" si="38"/>
        <v>7.1813000000000002E-2</v>
      </c>
      <c r="AH107" s="50">
        <f t="shared" si="39"/>
        <v>0</v>
      </c>
      <c r="AI107" s="51">
        <f t="shared" si="50"/>
        <v>7.1813000000000002E-2</v>
      </c>
      <c r="AJ107">
        <v>1124</v>
      </c>
      <c r="AK107">
        <v>13</v>
      </c>
      <c r="AL107" s="21">
        <f t="shared" si="51"/>
        <v>1461200</v>
      </c>
      <c r="AM107">
        <v>0</v>
      </c>
      <c r="AN107">
        <v>0</v>
      </c>
      <c r="AO107" s="21">
        <f t="shared" si="52"/>
        <v>0</v>
      </c>
      <c r="AP107" s="21">
        <f t="shared" si="40"/>
        <v>978922</v>
      </c>
      <c r="AQ107" s="21">
        <f t="shared" si="53"/>
        <v>2440122</v>
      </c>
      <c r="AR107" s="48">
        <v>855086</v>
      </c>
      <c r="AS107" s="48">
        <f t="shared" si="57"/>
        <v>2440122</v>
      </c>
      <c r="AT107" s="71">
        <v>2744963</v>
      </c>
      <c r="AU107" s="21">
        <f t="shared" si="58"/>
        <v>304841</v>
      </c>
      <c r="AV107" s="52" t="str">
        <f t="shared" si="60"/>
        <v>No</v>
      </c>
      <c r="AW107" s="48">
        <f t="shared" si="54"/>
        <v>0</v>
      </c>
      <c r="AX107" s="53">
        <f t="shared" si="55"/>
        <v>2744963</v>
      </c>
      <c r="AY107" s="54">
        <f t="shared" si="59"/>
        <v>2744963</v>
      </c>
      <c r="AZ107" s="55"/>
      <c r="BA107" s="55"/>
      <c r="BB107" s="55"/>
      <c r="BC107" s="55"/>
      <c r="BD107" s="55"/>
    </row>
    <row r="108" spans="1:56" x14ac:dyDescent="0.5">
      <c r="A108" s="5" t="s">
        <v>71</v>
      </c>
      <c r="B108" s="5"/>
      <c r="C108" s="33"/>
      <c r="D108" s="33"/>
      <c r="E108" s="33"/>
      <c r="F108" s="2">
        <v>6</v>
      </c>
      <c r="G108">
        <v>0</v>
      </c>
      <c r="H108" s="5">
        <v>82</v>
      </c>
      <c r="I108" s="2" t="s">
        <v>161</v>
      </c>
      <c r="J108" s="45"/>
      <c r="K108">
        <v>444.94</v>
      </c>
      <c r="L108"/>
      <c r="M108">
        <v>83</v>
      </c>
      <c r="N108" s="46">
        <f t="shared" si="41"/>
        <v>24.9</v>
      </c>
      <c r="O108" s="46">
        <f t="shared" si="42"/>
        <v>266.95999999999998</v>
      </c>
      <c r="P108" s="46">
        <f t="shared" si="43"/>
        <v>0</v>
      </c>
      <c r="Q108" s="46">
        <f t="shared" si="44"/>
        <v>0</v>
      </c>
      <c r="R108" s="47">
        <f t="shared" si="45"/>
        <v>0.19</v>
      </c>
      <c r="S108" s="47">
        <f t="shared" si="33"/>
        <v>0</v>
      </c>
      <c r="T108" s="46">
        <f t="shared" si="34"/>
        <v>0</v>
      </c>
      <c r="U108" s="46">
        <f t="shared" si="46"/>
        <v>0</v>
      </c>
      <c r="V108">
        <v>11</v>
      </c>
      <c r="W108" s="46">
        <f t="shared" si="47"/>
        <v>2.75</v>
      </c>
      <c r="X108" s="22">
        <f t="shared" si="48"/>
        <v>24.9</v>
      </c>
      <c r="Y108" s="10">
        <f t="shared" si="49"/>
        <v>472.59</v>
      </c>
      <c r="Z108" s="72">
        <v>889763888.33000004</v>
      </c>
      <c r="AA108" s="71">
        <v>4236</v>
      </c>
      <c r="AB108" s="22">
        <f t="shared" si="35"/>
        <v>210048.13</v>
      </c>
      <c r="AC108" s="9">
        <f t="shared" si="36"/>
        <v>0.76236700000000002</v>
      </c>
      <c r="AD108" s="71">
        <v>113750</v>
      </c>
      <c r="AE108" s="9">
        <f t="shared" si="37"/>
        <v>0.78259100000000004</v>
      </c>
      <c r="AF108" s="9">
        <f t="shared" si="56"/>
        <v>0.23156599999999999</v>
      </c>
      <c r="AG108" s="49">
        <f t="shared" si="38"/>
        <v>0.23156599999999999</v>
      </c>
      <c r="AH108" s="50">
        <f t="shared" si="39"/>
        <v>0</v>
      </c>
      <c r="AI108" s="51">
        <f t="shared" si="50"/>
        <v>0.23156599999999999</v>
      </c>
      <c r="AJ108">
        <v>447</v>
      </c>
      <c r="AK108">
        <v>13</v>
      </c>
      <c r="AL108" s="21">
        <f t="shared" si="51"/>
        <v>581100</v>
      </c>
      <c r="AM108">
        <v>0</v>
      </c>
      <c r="AN108">
        <v>0</v>
      </c>
      <c r="AO108" s="21">
        <f t="shared" si="52"/>
        <v>0</v>
      </c>
      <c r="AP108" s="21">
        <f t="shared" si="40"/>
        <v>1261247</v>
      </c>
      <c r="AQ108" s="21">
        <f t="shared" si="53"/>
        <v>1842347</v>
      </c>
      <c r="AR108" s="48">
        <v>2099315</v>
      </c>
      <c r="AS108" s="48">
        <f t="shared" si="57"/>
        <v>1842347</v>
      </c>
      <c r="AT108" s="71">
        <v>2100359</v>
      </c>
      <c r="AU108" s="21">
        <f t="shared" si="58"/>
        <v>258012</v>
      </c>
      <c r="AV108" s="52" t="str">
        <f t="shared" si="60"/>
        <v>No</v>
      </c>
      <c r="AW108" s="48">
        <f t="shared" si="54"/>
        <v>0</v>
      </c>
      <c r="AX108" s="53">
        <f t="shared" si="55"/>
        <v>2100359</v>
      </c>
      <c r="AY108" s="54">
        <f t="shared" si="59"/>
        <v>2100359</v>
      </c>
      <c r="AZ108" s="55"/>
      <c r="BA108" s="55"/>
      <c r="BB108" s="55"/>
      <c r="BC108" s="55"/>
      <c r="BD108" s="55"/>
    </row>
    <row r="109" spans="1:56" x14ac:dyDescent="0.5">
      <c r="A109" s="5" t="s">
        <v>86</v>
      </c>
      <c r="B109" s="5"/>
      <c r="C109" s="33">
        <v>1</v>
      </c>
      <c r="D109" s="33">
        <v>1</v>
      </c>
      <c r="E109" s="33"/>
      <c r="F109" s="2">
        <v>9</v>
      </c>
      <c r="G109">
        <v>26</v>
      </c>
      <c r="H109" s="5">
        <v>83</v>
      </c>
      <c r="I109" s="2" t="s">
        <v>162</v>
      </c>
      <c r="J109" s="45"/>
      <c r="K109">
        <v>4450.82</v>
      </c>
      <c r="L109"/>
      <c r="M109">
        <v>2102</v>
      </c>
      <c r="N109" s="46">
        <f t="shared" si="41"/>
        <v>630.6</v>
      </c>
      <c r="O109" s="46">
        <f t="shared" si="42"/>
        <v>2670.49</v>
      </c>
      <c r="P109" s="46">
        <f t="shared" si="43"/>
        <v>0</v>
      </c>
      <c r="Q109" s="46">
        <f t="shared" si="44"/>
        <v>0</v>
      </c>
      <c r="R109" s="47">
        <f t="shared" si="45"/>
        <v>0.47</v>
      </c>
      <c r="S109" s="47">
        <f t="shared" si="33"/>
        <v>0</v>
      </c>
      <c r="T109" s="46">
        <f t="shared" si="34"/>
        <v>0</v>
      </c>
      <c r="U109" s="46">
        <f t="shared" si="46"/>
        <v>0</v>
      </c>
      <c r="V109">
        <v>313</v>
      </c>
      <c r="W109" s="46">
        <f t="shared" si="47"/>
        <v>78.25</v>
      </c>
      <c r="X109" s="22">
        <f t="shared" si="48"/>
        <v>630.6</v>
      </c>
      <c r="Y109" s="10">
        <f t="shared" si="49"/>
        <v>5159.67</v>
      </c>
      <c r="Z109" s="72">
        <v>7324767729.6700001</v>
      </c>
      <c r="AA109" s="71">
        <v>47646</v>
      </c>
      <c r="AB109" s="22">
        <f t="shared" si="35"/>
        <v>153733.10999999999</v>
      </c>
      <c r="AC109" s="9">
        <f t="shared" si="36"/>
        <v>0.55797300000000005</v>
      </c>
      <c r="AD109" s="71">
        <v>73979</v>
      </c>
      <c r="AE109" s="9">
        <f t="shared" si="37"/>
        <v>0.50897000000000003</v>
      </c>
      <c r="AF109" s="9">
        <f t="shared" si="56"/>
        <v>0.45672800000000002</v>
      </c>
      <c r="AG109" s="49">
        <f t="shared" si="38"/>
        <v>0.45672800000000002</v>
      </c>
      <c r="AH109" s="50">
        <f t="shared" si="39"/>
        <v>0</v>
      </c>
      <c r="AI109" s="51">
        <f t="shared" si="50"/>
        <v>0.45672800000000002</v>
      </c>
      <c r="AJ109">
        <v>0</v>
      </c>
      <c r="AK109">
        <v>0</v>
      </c>
      <c r="AL109" s="21">
        <f t="shared" si="51"/>
        <v>0</v>
      </c>
      <c r="AM109">
        <v>0</v>
      </c>
      <c r="AN109">
        <v>0</v>
      </c>
      <c r="AO109" s="21">
        <f t="shared" si="52"/>
        <v>0</v>
      </c>
      <c r="AP109" s="21">
        <f t="shared" si="40"/>
        <v>27159420</v>
      </c>
      <c r="AQ109" s="21">
        <f t="shared" si="53"/>
        <v>27159420</v>
      </c>
      <c r="AR109" s="48">
        <v>19515825</v>
      </c>
      <c r="AS109" s="48">
        <f t="shared" si="57"/>
        <v>28184338</v>
      </c>
      <c r="AT109" s="71">
        <v>28184338</v>
      </c>
      <c r="AU109" s="21">
        <f t="shared" si="58"/>
        <v>1024918</v>
      </c>
      <c r="AV109" s="52" t="str">
        <f t="shared" si="60"/>
        <v>No</v>
      </c>
      <c r="AW109" s="48">
        <f t="shared" si="54"/>
        <v>0</v>
      </c>
      <c r="AX109" s="53">
        <f t="shared" si="55"/>
        <v>28184338</v>
      </c>
      <c r="AY109" s="54">
        <f t="shared" si="59"/>
        <v>28184338</v>
      </c>
      <c r="AZ109" s="55"/>
      <c r="BA109" s="55"/>
      <c r="BB109" s="55"/>
      <c r="BC109" s="55"/>
      <c r="BD109" s="55"/>
    </row>
    <row r="110" spans="1:56" x14ac:dyDescent="0.5">
      <c r="A110" s="5" t="s">
        <v>81</v>
      </c>
      <c r="B110" s="5"/>
      <c r="C110" s="33"/>
      <c r="D110" s="33"/>
      <c r="E110" s="33"/>
      <c r="F110" s="2">
        <v>6</v>
      </c>
      <c r="G110">
        <v>0</v>
      </c>
      <c r="H110" s="5">
        <v>84</v>
      </c>
      <c r="I110" s="2" t="s">
        <v>163</v>
      </c>
      <c r="J110" s="45"/>
      <c r="K110">
        <v>5162.91</v>
      </c>
      <c r="L110"/>
      <c r="M110">
        <v>1512</v>
      </c>
      <c r="N110" s="46">
        <f t="shared" si="41"/>
        <v>453.6</v>
      </c>
      <c r="O110" s="46">
        <f t="shared" si="42"/>
        <v>3097.75</v>
      </c>
      <c r="P110" s="46">
        <f t="shared" si="43"/>
        <v>0</v>
      </c>
      <c r="Q110" s="46">
        <f t="shared" si="44"/>
        <v>0</v>
      </c>
      <c r="R110" s="47">
        <f t="shared" si="45"/>
        <v>0.28999999999999998</v>
      </c>
      <c r="S110" s="47">
        <f t="shared" si="33"/>
        <v>0</v>
      </c>
      <c r="T110" s="46">
        <f t="shared" si="34"/>
        <v>0</v>
      </c>
      <c r="U110" s="46">
        <f t="shared" si="46"/>
        <v>0</v>
      </c>
      <c r="V110">
        <v>164</v>
      </c>
      <c r="W110" s="46">
        <f t="shared" si="47"/>
        <v>41</v>
      </c>
      <c r="X110" s="22">
        <f t="shared" si="48"/>
        <v>453.6</v>
      </c>
      <c r="Y110" s="10">
        <f t="shared" si="49"/>
        <v>5657.51</v>
      </c>
      <c r="Z110" s="72">
        <v>13507253692</v>
      </c>
      <c r="AA110" s="71">
        <v>52340</v>
      </c>
      <c r="AB110" s="22">
        <f t="shared" si="35"/>
        <v>258067.51</v>
      </c>
      <c r="AC110" s="9">
        <f t="shared" si="36"/>
        <v>0.93665299999999996</v>
      </c>
      <c r="AD110" s="71">
        <v>109580</v>
      </c>
      <c r="AE110" s="9">
        <f t="shared" si="37"/>
        <v>0.75390199999999996</v>
      </c>
      <c r="AF110" s="9">
        <f t="shared" si="56"/>
        <v>0.118172</v>
      </c>
      <c r="AG110" s="49">
        <f t="shared" si="38"/>
        <v>0.118172</v>
      </c>
      <c r="AH110" s="50">
        <f t="shared" si="39"/>
        <v>0</v>
      </c>
      <c r="AI110" s="51">
        <f t="shared" si="50"/>
        <v>0.118172</v>
      </c>
      <c r="AJ110">
        <v>0</v>
      </c>
      <c r="AK110">
        <v>0</v>
      </c>
      <c r="AL110" s="21">
        <f t="shared" si="51"/>
        <v>0</v>
      </c>
      <c r="AM110">
        <v>0</v>
      </c>
      <c r="AN110">
        <v>0</v>
      </c>
      <c r="AO110" s="21">
        <f t="shared" si="52"/>
        <v>0</v>
      </c>
      <c r="AP110" s="21">
        <f t="shared" si="40"/>
        <v>7705146</v>
      </c>
      <c r="AQ110" s="21">
        <f t="shared" si="53"/>
        <v>7705146</v>
      </c>
      <c r="AR110" s="48">
        <v>10849101</v>
      </c>
      <c r="AS110" s="48">
        <f t="shared" si="57"/>
        <v>7705146</v>
      </c>
      <c r="AT110" s="71">
        <v>9673235</v>
      </c>
      <c r="AU110" s="21">
        <f t="shared" si="58"/>
        <v>1968089</v>
      </c>
      <c r="AV110" s="52" t="str">
        <f t="shared" si="60"/>
        <v>No</v>
      </c>
      <c r="AW110" s="48">
        <f t="shared" si="54"/>
        <v>0</v>
      </c>
      <c r="AX110" s="53">
        <f t="shared" si="55"/>
        <v>9673235</v>
      </c>
      <c r="AY110" s="54">
        <f t="shared" si="59"/>
        <v>9673235</v>
      </c>
      <c r="AZ110" s="55"/>
      <c r="BA110" s="55"/>
      <c r="BB110" s="55"/>
      <c r="BC110" s="55"/>
      <c r="BD110" s="55"/>
    </row>
    <row r="111" spans="1:56" x14ac:dyDescent="0.5">
      <c r="A111" s="5" t="s">
        <v>77</v>
      </c>
      <c r="B111" s="5"/>
      <c r="C111" s="33"/>
      <c r="D111" s="33"/>
      <c r="E111" s="33"/>
      <c r="F111" s="2">
        <v>3</v>
      </c>
      <c r="G111">
        <v>0</v>
      </c>
      <c r="H111" s="5">
        <v>85</v>
      </c>
      <c r="I111" s="2" t="s">
        <v>164</v>
      </c>
      <c r="J111" s="45"/>
      <c r="K111">
        <v>3430.73</v>
      </c>
      <c r="L111"/>
      <c r="M111">
        <v>460</v>
      </c>
      <c r="N111" s="46">
        <f t="shared" si="41"/>
        <v>138</v>
      </c>
      <c r="O111" s="46">
        <f t="shared" si="42"/>
        <v>2058.44</v>
      </c>
      <c r="P111" s="46">
        <f t="shared" si="43"/>
        <v>0</v>
      </c>
      <c r="Q111" s="46">
        <f t="shared" si="44"/>
        <v>0</v>
      </c>
      <c r="R111" s="47">
        <f t="shared" si="45"/>
        <v>0.13</v>
      </c>
      <c r="S111" s="47">
        <f t="shared" si="33"/>
        <v>0</v>
      </c>
      <c r="T111" s="46">
        <f t="shared" si="34"/>
        <v>0</v>
      </c>
      <c r="U111" s="46">
        <f t="shared" si="46"/>
        <v>0</v>
      </c>
      <c r="V111">
        <v>103</v>
      </c>
      <c r="W111" s="46">
        <f t="shared" si="47"/>
        <v>25.75</v>
      </c>
      <c r="X111" s="22">
        <f t="shared" si="48"/>
        <v>138</v>
      </c>
      <c r="Y111" s="10">
        <f t="shared" si="49"/>
        <v>3594.48</v>
      </c>
      <c r="Z111" s="72">
        <v>4628365471</v>
      </c>
      <c r="AA111" s="71">
        <v>18833</v>
      </c>
      <c r="AB111" s="22">
        <f t="shared" si="35"/>
        <v>245758.27</v>
      </c>
      <c r="AC111" s="9">
        <f t="shared" si="36"/>
        <v>0.89197700000000002</v>
      </c>
      <c r="AD111" s="71">
        <v>156731</v>
      </c>
      <c r="AE111" s="9">
        <f t="shared" si="37"/>
        <v>1.0782970000000001</v>
      </c>
      <c r="AF111" s="9">
        <f t="shared" si="56"/>
        <v>5.2127E-2</v>
      </c>
      <c r="AG111" s="49">
        <f t="shared" si="38"/>
        <v>5.2127E-2</v>
      </c>
      <c r="AH111" s="50">
        <f t="shared" si="39"/>
        <v>0</v>
      </c>
      <c r="AI111" s="51">
        <f t="shared" si="50"/>
        <v>5.2127E-2</v>
      </c>
      <c r="AJ111">
        <v>0</v>
      </c>
      <c r="AK111">
        <v>0</v>
      </c>
      <c r="AL111" s="21">
        <f t="shared" si="51"/>
        <v>0</v>
      </c>
      <c r="AM111">
        <v>0</v>
      </c>
      <c r="AN111">
        <v>0</v>
      </c>
      <c r="AO111" s="21">
        <f t="shared" si="52"/>
        <v>0</v>
      </c>
      <c r="AP111" s="21">
        <f t="shared" si="40"/>
        <v>2159433</v>
      </c>
      <c r="AQ111" s="21">
        <f t="shared" si="53"/>
        <v>2159433</v>
      </c>
      <c r="AR111" s="48">
        <v>6394518</v>
      </c>
      <c r="AS111" s="48">
        <f t="shared" si="57"/>
        <v>2159433</v>
      </c>
      <c r="AT111" s="71">
        <v>5272935</v>
      </c>
      <c r="AU111" s="21">
        <f t="shared" si="58"/>
        <v>3113502</v>
      </c>
      <c r="AV111" s="52" t="str">
        <f t="shared" si="60"/>
        <v>No</v>
      </c>
      <c r="AW111" s="48">
        <f t="shared" si="54"/>
        <v>0</v>
      </c>
      <c r="AX111" s="53">
        <f t="shared" si="55"/>
        <v>5272935</v>
      </c>
      <c r="AY111" s="54">
        <f t="shared" si="59"/>
        <v>5272935</v>
      </c>
      <c r="AZ111" s="55"/>
      <c r="BA111" s="55"/>
      <c r="BB111" s="55"/>
      <c r="BC111" s="55"/>
      <c r="BD111" s="55"/>
    </row>
    <row r="112" spans="1:56" x14ac:dyDescent="0.5">
      <c r="A112" s="5" t="s">
        <v>99</v>
      </c>
      <c r="B112" s="5"/>
      <c r="C112" s="33"/>
      <c r="D112" s="33"/>
      <c r="E112" s="33"/>
      <c r="F112" s="2">
        <v>8</v>
      </c>
      <c r="G112">
        <v>0</v>
      </c>
      <c r="H112" s="5">
        <v>86</v>
      </c>
      <c r="I112" s="2" t="s">
        <v>165</v>
      </c>
      <c r="J112" s="45"/>
      <c r="K112">
        <v>2075.59</v>
      </c>
      <c r="L112"/>
      <c r="M112">
        <v>941</v>
      </c>
      <c r="N112" s="46">
        <f t="shared" si="41"/>
        <v>282.3</v>
      </c>
      <c r="O112" s="46">
        <f t="shared" si="42"/>
        <v>1245.3499999999999</v>
      </c>
      <c r="P112" s="46">
        <f t="shared" si="43"/>
        <v>0</v>
      </c>
      <c r="Q112" s="46">
        <f t="shared" si="44"/>
        <v>0</v>
      </c>
      <c r="R112" s="47">
        <f t="shared" si="45"/>
        <v>0.45</v>
      </c>
      <c r="S112" s="47">
        <f t="shared" si="33"/>
        <v>0</v>
      </c>
      <c r="T112" s="46">
        <f t="shared" si="34"/>
        <v>0</v>
      </c>
      <c r="U112" s="46">
        <f t="shared" si="46"/>
        <v>0</v>
      </c>
      <c r="V112">
        <v>90</v>
      </c>
      <c r="W112" s="46">
        <f t="shared" si="47"/>
        <v>22.5</v>
      </c>
      <c r="X112" s="22">
        <f t="shared" si="48"/>
        <v>282.3</v>
      </c>
      <c r="Y112" s="10">
        <f t="shared" si="49"/>
        <v>2380.3900000000003</v>
      </c>
      <c r="Z112" s="72">
        <v>2845068250</v>
      </c>
      <c r="AA112" s="71">
        <v>18006</v>
      </c>
      <c r="AB112" s="22">
        <f t="shared" si="35"/>
        <v>158006.68</v>
      </c>
      <c r="AC112" s="9">
        <f t="shared" si="36"/>
        <v>0.57348399999999999</v>
      </c>
      <c r="AD112" s="71">
        <v>87752</v>
      </c>
      <c r="AE112" s="9">
        <f t="shared" si="37"/>
        <v>0.60372700000000001</v>
      </c>
      <c r="AF112" s="9">
        <f t="shared" si="56"/>
        <v>0.41744300000000001</v>
      </c>
      <c r="AG112" s="49">
        <f t="shared" si="38"/>
        <v>0.41744300000000001</v>
      </c>
      <c r="AH112" s="50">
        <f t="shared" si="39"/>
        <v>0</v>
      </c>
      <c r="AI112" s="51">
        <f t="shared" si="50"/>
        <v>0.41744300000000001</v>
      </c>
      <c r="AJ112">
        <v>0</v>
      </c>
      <c r="AK112">
        <v>0</v>
      </c>
      <c r="AL112" s="21">
        <f t="shared" si="51"/>
        <v>0</v>
      </c>
      <c r="AM112">
        <v>0</v>
      </c>
      <c r="AN112">
        <v>0</v>
      </c>
      <c r="AO112" s="21">
        <f t="shared" si="52"/>
        <v>0</v>
      </c>
      <c r="AP112" s="21">
        <f t="shared" si="40"/>
        <v>11452129</v>
      </c>
      <c r="AQ112" s="21">
        <f t="shared" si="53"/>
        <v>11452129</v>
      </c>
      <c r="AR112" s="48">
        <v>12589621</v>
      </c>
      <c r="AS112" s="48">
        <f t="shared" si="57"/>
        <v>11452129</v>
      </c>
      <c r="AT112" s="71">
        <v>12802864</v>
      </c>
      <c r="AU112" s="21">
        <f t="shared" si="58"/>
        <v>1350735</v>
      </c>
      <c r="AV112" s="52" t="str">
        <f t="shared" si="60"/>
        <v>No</v>
      </c>
      <c r="AW112" s="48">
        <f t="shared" si="54"/>
        <v>0</v>
      </c>
      <c r="AX112" s="53">
        <f t="shared" si="55"/>
        <v>12802864</v>
      </c>
      <c r="AY112" s="54">
        <f t="shared" si="59"/>
        <v>12802864</v>
      </c>
      <c r="AZ112" s="55"/>
      <c r="BA112" s="55"/>
      <c r="BB112" s="55"/>
      <c r="BC112" s="55"/>
      <c r="BD112" s="55"/>
    </row>
    <row r="113" spans="1:56" x14ac:dyDescent="0.5">
      <c r="A113" s="5" t="s">
        <v>75</v>
      </c>
      <c r="B113" s="5"/>
      <c r="C113" s="33"/>
      <c r="D113" s="33"/>
      <c r="E113" s="33"/>
      <c r="F113" s="2">
        <v>3</v>
      </c>
      <c r="G113">
        <v>0</v>
      </c>
      <c r="H113" s="5">
        <v>87</v>
      </c>
      <c r="I113" s="2" t="s">
        <v>166</v>
      </c>
      <c r="J113" s="45"/>
      <c r="K113">
        <v>218.86</v>
      </c>
      <c r="L113"/>
      <c r="M113">
        <v>68</v>
      </c>
      <c r="N113" s="46">
        <f t="shared" si="41"/>
        <v>20.399999999999999</v>
      </c>
      <c r="O113" s="46">
        <f t="shared" si="42"/>
        <v>131.32</v>
      </c>
      <c r="P113" s="46">
        <f t="shared" si="43"/>
        <v>0</v>
      </c>
      <c r="Q113" s="46">
        <f t="shared" si="44"/>
        <v>0</v>
      </c>
      <c r="R113" s="47">
        <f t="shared" si="45"/>
        <v>0.31</v>
      </c>
      <c r="S113" s="47">
        <f t="shared" si="33"/>
        <v>0</v>
      </c>
      <c r="T113" s="46">
        <f t="shared" si="34"/>
        <v>0</v>
      </c>
      <c r="U113" s="46">
        <f t="shared" si="46"/>
        <v>0</v>
      </c>
      <c r="V113">
        <v>10</v>
      </c>
      <c r="W113" s="46">
        <f t="shared" si="47"/>
        <v>2.5</v>
      </c>
      <c r="X113" s="22">
        <f t="shared" si="48"/>
        <v>20.399999999999999</v>
      </c>
      <c r="Y113" s="10">
        <f t="shared" si="49"/>
        <v>241.76000000000002</v>
      </c>
      <c r="Z113" s="72">
        <v>738974293.66999996</v>
      </c>
      <c r="AA113" s="71">
        <v>2100</v>
      </c>
      <c r="AB113" s="22">
        <f t="shared" si="35"/>
        <v>351892.52</v>
      </c>
      <c r="AC113" s="9">
        <f t="shared" si="36"/>
        <v>1.27719</v>
      </c>
      <c r="AD113" s="71">
        <v>111000</v>
      </c>
      <c r="AE113" s="9">
        <f t="shared" si="37"/>
        <v>0.76367200000000002</v>
      </c>
      <c r="AF113" s="9">
        <f t="shared" si="56"/>
        <v>-0.12313499999999999</v>
      </c>
      <c r="AG113" s="49">
        <f t="shared" si="38"/>
        <v>0.01</v>
      </c>
      <c r="AH113" s="50">
        <f t="shared" si="39"/>
        <v>0</v>
      </c>
      <c r="AI113" s="51">
        <f t="shared" si="50"/>
        <v>0.01</v>
      </c>
      <c r="AJ113">
        <v>218</v>
      </c>
      <c r="AK113">
        <v>13</v>
      </c>
      <c r="AL113" s="21">
        <f t="shared" si="51"/>
        <v>283400</v>
      </c>
      <c r="AM113">
        <v>0</v>
      </c>
      <c r="AN113">
        <v>0</v>
      </c>
      <c r="AO113" s="21">
        <f t="shared" si="52"/>
        <v>0</v>
      </c>
      <c r="AP113" s="21">
        <f t="shared" si="40"/>
        <v>27863</v>
      </c>
      <c r="AQ113" s="21">
        <f t="shared" si="53"/>
        <v>311263</v>
      </c>
      <c r="AR113" s="48">
        <v>102178</v>
      </c>
      <c r="AS113" s="48">
        <f t="shared" si="57"/>
        <v>311263</v>
      </c>
      <c r="AT113" s="71">
        <v>311169</v>
      </c>
      <c r="AU113" s="21">
        <f t="shared" si="58"/>
        <v>94</v>
      </c>
      <c r="AV113" s="52" t="str">
        <f t="shared" si="60"/>
        <v>Yes</v>
      </c>
      <c r="AW113" s="48">
        <f t="shared" si="54"/>
        <v>94</v>
      </c>
      <c r="AX113" s="53">
        <f t="shared" si="55"/>
        <v>311263</v>
      </c>
      <c r="AY113" s="54">
        <f t="shared" si="59"/>
        <v>311263</v>
      </c>
      <c r="AZ113" s="55"/>
      <c r="BA113" s="55"/>
      <c r="BB113" s="55"/>
      <c r="BC113" s="55"/>
      <c r="BD113" s="55"/>
    </row>
    <row r="114" spans="1:56" x14ac:dyDescent="0.5">
      <c r="A114" s="5" t="s">
        <v>86</v>
      </c>
      <c r="B114" s="5"/>
      <c r="C114" s="33">
        <v>1</v>
      </c>
      <c r="D114" s="33">
        <v>1</v>
      </c>
      <c r="E114" s="33"/>
      <c r="F114" s="2">
        <v>10</v>
      </c>
      <c r="G114">
        <v>21</v>
      </c>
      <c r="H114" s="5">
        <v>88</v>
      </c>
      <c r="I114" s="2" t="s">
        <v>167</v>
      </c>
      <c r="J114" s="45"/>
      <c r="K114">
        <v>4426.9799999999996</v>
      </c>
      <c r="L114"/>
      <c r="M114">
        <v>2454</v>
      </c>
      <c r="N114" s="46">
        <f t="shared" si="41"/>
        <v>736.2</v>
      </c>
      <c r="O114" s="46">
        <f t="shared" si="42"/>
        <v>2656.19</v>
      </c>
      <c r="P114" s="46">
        <f t="shared" si="43"/>
        <v>0</v>
      </c>
      <c r="Q114" s="46">
        <f t="shared" si="44"/>
        <v>0</v>
      </c>
      <c r="R114" s="47">
        <f t="shared" si="45"/>
        <v>0.55000000000000004</v>
      </c>
      <c r="S114" s="47">
        <f t="shared" si="33"/>
        <v>0</v>
      </c>
      <c r="T114" s="46">
        <f t="shared" si="34"/>
        <v>0</v>
      </c>
      <c r="U114" s="46">
        <f t="shared" si="46"/>
        <v>0</v>
      </c>
      <c r="V114">
        <v>587</v>
      </c>
      <c r="W114" s="46">
        <f t="shared" si="47"/>
        <v>146.75</v>
      </c>
      <c r="X114" s="22">
        <f t="shared" si="48"/>
        <v>736.2</v>
      </c>
      <c r="Y114" s="10">
        <f t="shared" si="49"/>
        <v>5309.9299999999994</v>
      </c>
      <c r="Z114" s="72">
        <v>3715175263.3299999</v>
      </c>
      <c r="AA114" s="71">
        <v>31634</v>
      </c>
      <c r="AB114" s="22">
        <f t="shared" si="35"/>
        <v>117442.48</v>
      </c>
      <c r="AC114" s="9">
        <f t="shared" si="36"/>
        <v>0.42625600000000002</v>
      </c>
      <c r="AD114" s="71">
        <v>92184</v>
      </c>
      <c r="AE114" s="9">
        <f t="shared" si="37"/>
        <v>0.63421899999999998</v>
      </c>
      <c r="AF114" s="9">
        <f t="shared" si="56"/>
        <v>0.511355</v>
      </c>
      <c r="AG114" s="49">
        <f t="shared" si="38"/>
        <v>0.511355</v>
      </c>
      <c r="AH114" s="50">
        <f t="shared" si="39"/>
        <v>0</v>
      </c>
      <c r="AI114" s="51">
        <f t="shared" si="50"/>
        <v>0.511355</v>
      </c>
      <c r="AJ114">
        <v>0</v>
      </c>
      <c r="AK114">
        <v>0</v>
      </c>
      <c r="AL114" s="21">
        <f t="shared" si="51"/>
        <v>0</v>
      </c>
      <c r="AM114">
        <v>0</v>
      </c>
      <c r="AN114">
        <v>0</v>
      </c>
      <c r="AO114" s="21">
        <f t="shared" si="52"/>
        <v>0</v>
      </c>
      <c r="AP114" s="21">
        <f t="shared" si="40"/>
        <v>31293363</v>
      </c>
      <c r="AQ114" s="21">
        <f t="shared" si="53"/>
        <v>31293363</v>
      </c>
      <c r="AR114" s="48">
        <v>30280380</v>
      </c>
      <c r="AS114" s="48">
        <f t="shared" si="57"/>
        <v>34096586</v>
      </c>
      <c r="AT114" s="71">
        <v>34096586</v>
      </c>
      <c r="AU114" s="21">
        <f t="shared" si="58"/>
        <v>2803223</v>
      </c>
      <c r="AV114" s="52" t="str">
        <f t="shared" si="60"/>
        <v>No</v>
      </c>
      <c r="AW114" s="48">
        <f t="shared" si="54"/>
        <v>0</v>
      </c>
      <c r="AX114" s="53">
        <f t="shared" si="55"/>
        <v>34096586</v>
      </c>
      <c r="AY114" s="54">
        <f t="shared" si="59"/>
        <v>34096586</v>
      </c>
      <c r="AZ114" s="55"/>
      <c r="BA114" s="55"/>
      <c r="BB114" s="55"/>
      <c r="BC114" s="55"/>
      <c r="BD114" s="55"/>
    </row>
    <row r="115" spans="1:56" x14ac:dyDescent="0.5">
      <c r="A115" s="5" t="s">
        <v>91</v>
      </c>
      <c r="B115" s="5">
        <v>1</v>
      </c>
      <c r="C115" s="33">
        <v>1</v>
      </c>
      <c r="D115" s="33">
        <v>0</v>
      </c>
      <c r="E115" s="33">
        <v>1</v>
      </c>
      <c r="F115" s="2">
        <v>10</v>
      </c>
      <c r="G115">
        <v>3</v>
      </c>
      <c r="H115" s="5">
        <v>89</v>
      </c>
      <c r="I115" s="2" t="s">
        <v>168</v>
      </c>
      <c r="J115" s="45"/>
      <c r="K115">
        <v>11161.52</v>
      </c>
      <c r="L115"/>
      <c r="M115">
        <v>8300</v>
      </c>
      <c r="N115" s="46">
        <f t="shared" si="41"/>
        <v>2490</v>
      </c>
      <c r="O115" s="46">
        <f t="shared" si="42"/>
        <v>6696.91</v>
      </c>
      <c r="P115" s="46">
        <f t="shared" si="43"/>
        <v>1603.0900000000001</v>
      </c>
      <c r="Q115" s="46">
        <f t="shared" si="44"/>
        <v>240.46</v>
      </c>
      <c r="R115" s="47">
        <f t="shared" si="45"/>
        <v>0.74</v>
      </c>
      <c r="S115" s="47">
        <f t="shared" si="33"/>
        <v>0.14000000000000001</v>
      </c>
      <c r="T115" s="46">
        <f t="shared" si="34"/>
        <v>1562.61</v>
      </c>
      <c r="U115" s="46">
        <f t="shared" si="46"/>
        <v>234.39</v>
      </c>
      <c r="V115">
        <v>2127</v>
      </c>
      <c r="W115" s="46">
        <f t="shared" si="47"/>
        <v>531.75</v>
      </c>
      <c r="X115" s="22">
        <f t="shared" si="48"/>
        <v>2490</v>
      </c>
      <c r="Y115" s="10">
        <f t="shared" si="49"/>
        <v>14423.73</v>
      </c>
      <c r="Z115" s="72">
        <v>6126566265.3299999</v>
      </c>
      <c r="AA115" s="71">
        <v>73301</v>
      </c>
      <c r="AB115" s="22">
        <f t="shared" si="35"/>
        <v>83580.94</v>
      </c>
      <c r="AC115" s="9">
        <f t="shared" si="36"/>
        <v>0.30335600000000001</v>
      </c>
      <c r="AD115" s="71">
        <v>57036</v>
      </c>
      <c r="AE115" s="9">
        <f t="shared" si="37"/>
        <v>0.392403</v>
      </c>
      <c r="AF115" s="9">
        <f t="shared" si="56"/>
        <v>0.66993000000000003</v>
      </c>
      <c r="AG115" s="49">
        <f t="shared" si="38"/>
        <v>0.66993000000000003</v>
      </c>
      <c r="AH115" s="50">
        <f t="shared" si="39"/>
        <v>0.06</v>
      </c>
      <c r="AI115" s="51">
        <f t="shared" si="50"/>
        <v>0.72992999999999997</v>
      </c>
      <c r="AJ115">
        <v>0</v>
      </c>
      <c r="AK115">
        <v>0</v>
      </c>
      <c r="AL115" s="21">
        <f t="shared" si="51"/>
        <v>0</v>
      </c>
      <c r="AM115">
        <v>0</v>
      </c>
      <c r="AN115">
        <v>0</v>
      </c>
      <c r="AO115" s="21">
        <f t="shared" si="52"/>
        <v>0</v>
      </c>
      <c r="AP115" s="21">
        <f t="shared" si="40"/>
        <v>121338810</v>
      </c>
      <c r="AQ115" s="21">
        <f t="shared" si="53"/>
        <v>121338810</v>
      </c>
      <c r="AR115" s="48">
        <v>86195269</v>
      </c>
      <c r="AS115" s="48">
        <f t="shared" si="57"/>
        <v>124491915</v>
      </c>
      <c r="AT115" s="71">
        <v>124491915</v>
      </c>
      <c r="AU115" s="21">
        <f t="shared" si="58"/>
        <v>3153105</v>
      </c>
      <c r="AV115" s="52" t="str">
        <f t="shared" si="60"/>
        <v>No</v>
      </c>
      <c r="AW115" s="48">
        <f t="shared" si="54"/>
        <v>0</v>
      </c>
      <c r="AX115" s="53">
        <f t="shared" si="55"/>
        <v>124491915</v>
      </c>
      <c r="AY115" s="54">
        <f t="shared" si="59"/>
        <v>124491915</v>
      </c>
      <c r="AZ115" s="55"/>
      <c r="BA115" s="55"/>
      <c r="BB115" s="55"/>
      <c r="BC115" s="55"/>
      <c r="BD115" s="55"/>
    </row>
    <row r="116" spans="1:56" x14ac:dyDescent="0.5">
      <c r="A116" s="5" t="s">
        <v>113</v>
      </c>
      <c r="B116" s="5"/>
      <c r="C116" s="33"/>
      <c r="D116" s="33"/>
      <c r="E116" s="33"/>
      <c r="F116" s="2">
        <v>1</v>
      </c>
      <c r="G116">
        <v>0</v>
      </c>
      <c r="H116" s="5">
        <v>90</v>
      </c>
      <c r="I116" s="2" t="s">
        <v>169</v>
      </c>
      <c r="J116" s="45"/>
      <c r="K116">
        <v>4065.42</v>
      </c>
      <c r="L116"/>
      <c r="M116">
        <v>5</v>
      </c>
      <c r="N116" s="46">
        <f t="shared" si="41"/>
        <v>1.5</v>
      </c>
      <c r="O116" s="46">
        <f t="shared" si="42"/>
        <v>2439.25</v>
      </c>
      <c r="P116" s="46">
        <f t="shared" si="43"/>
        <v>0</v>
      </c>
      <c r="Q116" s="46">
        <f t="shared" si="44"/>
        <v>0</v>
      </c>
      <c r="R116" s="47">
        <f t="shared" si="45"/>
        <v>0</v>
      </c>
      <c r="S116" s="47">
        <f t="shared" si="33"/>
        <v>0</v>
      </c>
      <c r="T116" s="46">
        <f t="shared" si="34"/>
        <v>0</v>
      </c>
      <c r="U116" s="46">
        <f t="shared" si="46"/>
        <v>0</v>
      </c>
      <c r="V116">
        <v>20</v>
      </c>
      <c r="W116" s="46">
        <f t="shared" si="47"/>
        <v>5</v>
      </c>
      <c r="X116" s="22">
        <f t="shared" si="48"/>
        <v>1.5</v>
      </c>
      <c r="Y116" s="10">
        <f t="shared" si="49"/>
        <v>4071.92</v>
      </c>
      <c r="Z116" s="72">
        <v>14321073212.33</v>
      </c>
      <c r="AA116" s="71">
        <v>20704</v>
      </c>
      <c r="AB116" s="22">
        <f t="shared" si="35"/>
        <v>691705.62</v>
      </c>
      <c r="AC116" s="9">
        <f t="shared" si="36"/>
        <v>2.5105379999999999</v>
      </c>
      <c r="AD116" s="71">
        <v>250000</v>
      </c>
      <c r="AE116" s="9">
        <f t="shared" si="37"/>
        <v>1.719981</v>
      </c>
      <c r="AF116" s="9">
        <f t="shared" si="56"/>
        <v>-1.273371</v>
      </c>
      <c r="AG116" s="49">
        <f t="shared" si="38"/>
        <v>0.01</v>
      </c>
      <c r="AH116" s="50">
        <f t="shared" si="39"/>
        <v>0</v>
      </c>
      <c r="AI116" s="51">
        <f t="shared" si="50"/>
        <v>0.01</v>
      </c>
      <c r="AJ116">
        <v>0</v>
      </c>
      <c r="AK116">
        <v>0</v>
      </c>
      <c r="AL116" s="21">
        <f t="shared" si="51"/>
        <v>0</v>
      </c>
      <c r="AM116">
        <v>0</v>
      </c>
      <c r="AN116">
        <v>0</v>
      </c>
      <c r="AO116" s="21">
        <f t="shared" si="52"/>
        <v>0</v>
      </c>
      <c r="AP116" s="21">
        <f t="shared" si="40"/>
        <v>469289</v>
      </c>
      <c r="AQ116" s="21">
        <f t="shared" si="53"/>
        <v>469289</v>
      </c>
      <c r="AR116" s="48">
        <v>339590</v>
      </c>
      <c r="AS116" s="48">
        <f t="shared" si="57"/>
        <v>469289</v>
      </c>
      <c r="AT116" s="71">
        <v>473399</v>
      </c>
      <c r="AU116" s="21">
        <f t="shared" si="58"/>
        <v>4110</v>
      </c>
      <c r="AV116" s="52" t="str">
        <f t="shared" si="60"/>
        <v>No</v>
      </c>
      <c r="AW116" s="48">
        <f t="shared" si="54"/>
        <v>0</v>
      </c>
      <c r="AX116" s="53">
        <f t="shared" si="55"/>
        <v>473399</v>
      </c>
      <c r="AY116" s="54">
        <f t="shared" si="59"/>
        <v>473399</v>
      </c>
      <c r="AZ116" s="55"/>
      <c r="BA116" s="55"/>
      <c r="BB116" s="55"/>
      <c r="BC116" s="55"/>
      <c r="BD116" s="55"/>
    </row>
    <row r="117" spans="1:56" x14ac:dyDescent="0.5">
      <c r="A117" s="5" t="s">
        <v>77</v>
      </c>
      <c r="B117" s="5"/>
      <c r="C117" s="33"/>
      <c r="D117" s="33"/>
      <c r="E117" s="33"/>
      <c r="F117" s="2">
        <v>3</v>
      </c>
      <c r="G117">
        <v>0</v>
      </c>
      <c r="H117" s="5">
        <v>91</v>
      </c>
      <c r="I117" s="2" t="s">
        <v>170</v>
      </c>
      <c r="J117" s="45"/>
      <c r="K117">
        <v>2041.28</v>
      </c>
      <c r="L117"/>
      <c r="M117">
        <v>409</v>
      </c>
      <c r="N117" s="46">
        <f t="shared" si="41"/>
        <v>122.7</v>
      </c>
      <c r="O117" s="46">
        <f t="shared" si="42"/>
        <v>1224.77</v>
      </c>
      <c r="P117" s="46">
        <f t="shared" si="43"/>
        <v>0</v>
      </c>
      <c r="Q117" s="46">
        <f t="shared" si="44"/>
        <v>0</v>
      </c>
      <c r="R117" s="47">
        <f t="shared" si="45"/>
        <v>0.2</v>
      </c>
      <c r="S117" s="47">
        <f t="shared" si="33"/>
        <v>0</v>
      </c>
      <c r="T117" s="46">
        <f t="shared" si="34"/>
        <v>0</v>
      </c>
      <c r="U117" s="46">
        <f t="shared" si="46"/>
        <v>0</v>
      </c>
      <c r="V117">
        <v>91</v>
      </c>
      <c r="W117" s="46">
        <f t="shared" si="47"/>
        <v>22.75</v>
      </c>
      <c r="X117" s="22">
        <f t="shared" si="48"/>
        <v>122.7</v>
      </c>
      <c r="Y117" s="10">
        <f t="shared" si="49"/>
        <v>2186.73</v>
      </c>
      <c r="Z117" s="72">
        <v>3706065413.3299999</v>
      </c>
      <c r="AA117" s="71">
        <v>13558</v>
      </c>
      <c r="AB117" s="22">
        <f t="shared" si="35"/>
        <v>273348.98</v>
      </c>
      <c r="AC117" s="9">
        <f t="shared" si="36"/>
        <v>0.99211700000000003</v>
      </c>
      <c r="AD117" s="71">
        <v>143864</v>
      </c>
      <c r="AE117" s="9">
        <f t="shared" si="37"/>
        <v>0.98977300000000001</v>
      </c>
      <c r="AF117" s="9">
        <f t="shared" si="56"/>
        <v>8.5859999999999999E-3</v>
      </c>
      <c r="AG117" s="49">
        <f t="shared" si="38"/>
        <v>0.01</v>
      </c>
      <c r="AH117" s="50">
        <f t="shared" si="39"/>
        <v>0</v>
      </c>
      <c r="AI117" s="51">
        <f t="shared" si="50"/>
        <v>0.01</v>
      </c>
      <c r="AJ117">
        <v>0</v>
      </c>
      <c r="AK117">
        <v>0</v>
      </c>
      <c r="AL117" s="21">
        <f t="shared" si="51"/>
        <v>0</v>
      </c>
      <c r="AM117">
        <v>0</v>
      </c>
      <c r="AN117">
        <v>0</v>
      </c>
      <c r="AO117" s="21">
        <f t="shared" si="52"/>
        <v>0</v>
      </c>
      <c r="AP117" s="21">
        <f t="shared" si="40"/>
        <v>252021</v>
      </c>
      <c r="AQ117" s="21">
        <f t="shared" si="53"/>
        <v>252021</v>
      </c>
      <c r="AR117" s="48">
        <v>4338569</v>
      </c>
      <c r="AS117" s="48">
        <f t="shared" si="57"/>
        <v>252021</v>
      </c>
      <c r="AT117" s="71">
        <v>3481120</v>
      </c>
      <c r="AU117" s="21">
        <f t="shared" si="58"/>
        <v>3229099</v>
      </c>
      <c r="AV117" s="52" t="str">
        <f t="shared" si="60"/>
        <v>No</v>
      </c>
      <c r="AW117" s="48">
        <f t="shared" si="54"/>
        <v>0</v>
      </c>
      <c r="AX117" s="53">
        <f t="shared" si="55"/>
        <v>3481120</v>
      </c>
      <c r="AY117" s="54">
        <f t="shared" si="59"/>
        <v>3481120</v>
      </c>
      <c r="AZ117" s="55"/>
      <c r="BA117" s="55"/>
      <c r="BB117" s="55"/>
      <c r="BC117" s="55"/>
      <c r="BD117" s="55"/>
    </row>
    <row r="118" spans="1:56" x14ac:dyDescent="0.5">
      <c r="A118" s="5" t="s">
        <v>71</v>
      </c>
      <c r="B118" s="5"/>
      <c r="C118" s="33"/>
      <c r="D118" s="33"/>
      <c r="E118" s="33"/>
      <c r="F118" s="2">
        <v>5</v>
      </c>
      <c r="G118">
        <v>0</v>
      </c>
      <c r="H118" s="5">
        <v>92</v>
      </c>
      <c r="I118" s="2" t="s">
        <v>171</v>
      </c>
      <c r="J118" s="45"/>
      <c r="K118">
        <v>786.04</v>
      </c>
      <c r="L118"/>
      <c r="M118">
        <v>172</v>
      </c>
      <c r="N118" s="46">
        <f t="shared" si="41"/>
        <v>51.6</v>
      </c>
      <c r="O118" s="46">
        <f t="shared" si="42"/>
        <v>471.62</v>
      </c>
      <c r="P118" s="46">
        <f t="shared" si="43"/>
        <v>0</v>
      </c>
      <c r="Q118" s="46">
        <f t="shared" si="44"/>
        <v>0</v>
      </c>
      <c r="R118" s="47">
        <f t="shared" si="45"/>
        <v>0.22</v>
      </c>
      <c r="S118" s="47">
        <f t="shared" si="33"/>
        <v>0</v>
      </c>
      <c r="T118" s="46">
        <f t="shared" si="34"/>
        <v>0</v>
      </c>
      <c r="U118" s="46">
        <f t="shared" si="46"/>
        <v>0</v>
      </c>
      <c r="V118">
        <v>7</v>
      </c>
      <c r="W118" s="46">
        <f t="shared" si="47"/>
        <v>1.75</v>
      </c>
      <c r="X118" s="22">
        <f t="shared" si="48"/>
        <v>51.6</v>
      </c>
      <c r="Y118" s="10">
        <f t="shared" si="49"/>
        <v>839.39</v>
      </c>
      <c r="Z118" s="72">
        <v>1288634776</v>
      </c>
      <c r="AA118" s="71">
        <v>6684</v>
      </c>
      <c r="AB118" s="22">
        <f t="shared" si="35"/>
        <v>192793.95</v>
      </c>
      <c r="AC118" s="9">
        <f t="shared" si="36"/>
        <v>0.69974400000000003</v>
      </c>
      <c r="AD118" s="71">
        <v>116618</v>
      </c>
      <c r="AE118" s="9">
        <f t="shared" si="37"/>
        <v>0.80232300000000001</v>
      </c>
      <c r="AF118" s="9">
        <f t="shared" si="56"/>
        <v>0.269482</v>
      </c>
      <c r="AG118" s="49">
        <f t="shared" si="38"/>
        <v>0.269482</v>
      </c>
      <c r="AH118" s="50">
        <f t="shared" si="39"/>
        <v>0</v>
      </c>
      <c r="AI118" s="51">
        <f t="shared" si="50"/>
        <v>0.269482</v>
      </c>
      <c r="AJ118">
        <v>373</v>
      </c>
      <c r="AK118">
        <v>6</v>
      </c>
      <c r="AL118" s="21">
        <f t="shared" si="51"/>
        <v>223800</v>
      </c>
      <c r="AM118">
        <v>0</v>
      </c>
      <c r="AN118">
        <v>0</v>
      </c>
      <c r="AO118" s="21">
        <f t="shared" si="52"/>
        <v>0</v>
      </c>
      <c r="AP118" s="21">
        <f t="shared" si="40"/>
        <v>2606961</v>
      </c>
      <c r="AQ118" s="21">
        <f t="shared" si="53"/>
        <v>2830761</v>
      </c>
      <c r="AR118" s="48">
        <v>3113169</v>
      </c>
      <c r="AS118" s="48">
        <f t="shared" si="57"/>
        <v>2830761</v>
      </c>
      <c r="AT118" s="71">
        <v>3011733</v>
      </c>
      <c r="AU118" s="21">
        <f t="shared" si="58"/>
        <v>180972</v>
      </c>
      <c r="AV118" s="52" t="str">
        <f t="shared" si="60"/>
        <v>No</v>
      </c>
      <c r="AW118" s="48">
        <f t="shared" si="54"/>
        <v>0</v>
      </c>
      <c r="AX118" s="53">
        <f t="shared" si="55"/>
        <v>3011733</v>
      </c>
      <c r="AY118" s="54">
        <f t="shared" si="59"/>
        <v>3011733</v>
      </c>
      <c r="AZ118" s="55"/>
      <c r="BA118" s="55"/>
      <c r="BB118" s="55"/>
      <c r="BC118" s="55"/>
      <c r="BD118" s="55"/>
    </row>
    <row r="119" spans="1:56" x14ac:dyDescent="0.5">
      <c r="A119" s="5" t="s">
        <v>91</v>
      </c>
      <c r="B119" s="5">
        <v>1</v>
      </c>
      <c r="C119" s="33">
        <v>1</v>
      </c>
      <c r="D119" s="33">
        <v>0</v>
      </c>
      <c r="E119" s="33">
        <v>1</v>
      </c>
      <c r="F119" s="2">
        <v>10</v>
      </c>
      <c r="G119">
        <v>6</v>
      </c>
      <c r="H119" s="5">
        <v>93</v>
      </c>
      <c r="I119" s="2" t="s">
        <v>172</v>
      </c>
      <c r="J119" s="45"/>
      <c r="K119">
        <v>16097.48</v>
      </c>
      <c r="L119"/>
      <c r="M119">
        <v>12546</v>
      </c>
      <c r="N119" s="46">
        <f t="shared" si="41"/>
        <v>3763.8</v>
      </c>
      <c r="O119" s="46">
        <f t="shared" si="42"/>
        <v>9658.49</v>
      </c>
      <c r="P119" s="46">
        <f t="shared" si="43"/>
        <v>2887.51</v>
      </c>
      <c r="Q119" s="46">
        <f t="shared" si="44"/>
        <v>433.13</v>
      </c>
      <c r="R119" s="47">
        <f t="shared" si="45"/>
        <v>0.78</v>
      </c>
      <c r="S119" s="47">
        <f t="shared" si="33"/>
        <v>0.18000000000000005</v>
      </c>
      <c r="T119" s="46">
        <f t="shared" si="34"/>
        <v>2897.55</v>
      </c>
      <c r="U119" s="46">
        <f t="shared" si="46"/>
        <v>434.63</v>
      </c>
      <c r="V119">
        <v>4028</v>
      </c>
      <c r="W119" s="46">
        <f t="shared" si="47"/>
        <v>1007</v>
      </c>
      <c r="X119" s="22">
        <f t="shared" si="48"/>
        <v>3763.8</v>
      </c>
      <c r="Y119" s="10">
        <f t="shared" si="49"/>
        <v>21301.41</v>
      </c>
      <c r="Z119" s="72">
        <v>15628800265</v>
      </c>
      <c r="AA119" s="71">
        <v>132893</v>
      </c>
      <c r="AB119" s="22">
        <f t="shared" si="35"/>
        <v>117604.39</v>
      </c>
      <c r="AC119" s="9">
        <f t="shared" si="36"/>
        <v>0.426844</v>
      </c>
      <c r="AD119" s="71">
        <v>53771</v>
      </c>
      <c r="AE119" s="9">
        <f t="shared" si="37"/>
        <v>0.36993999999999999</v>
      </c>
      <c r="AF119" s="9">
        <f t="shared" si="56"/>
        <v>0.59022699999999995</v>
      </c>
      <c r="AG119" s="49">
        <f t="shared" si="38"/>
        <v>0.59022699999999995</v>
      </c>
      <c r="AH119" s="50">
        <f t="shared" si="39"/>
        <v>0.05</v>
      </c>
      <c r="AI119" s="51">
        <f t="shared" si="50"/>
        <v>0.64022699999999999</v>
      </c>
      <c r="AJ119">
        <v>0</v>
      </c>
      <c r="AK119">
        <v>0</v>
      </c>
      <c r="AL119" s="21">
        <f t="shared" si="51"/>
        <v>0</v>
      </c>
      <c r="AM119">
        <v>0</v>
      </c>
      <c r="AN119">
        <v>0</v>
      </c>
      <c r="AO119" s="21">
        <f t="shared" si="52"/>
        <v>0</v>
      </c>
      <c r="AP119" s="21">
        <f t="shared" si="40"/>
        <v>157174928</v>
      </c>
      <c r="AQ119" s="21">
        <f t="shared" si="53"/>
        <v>157174928</v>
      </c>
      <c r="AR119" s="48">
        <v>154301977</v>
      </c>
      <c r="AS119" s="48">
        <f t="shared" si="57"/>
        <v>170824330</v>
      </c>
      <c r="AT119" s="71">
        <v>170824330</v>
      </c>
      <c r="AU119" s="21">
        <f t="shared" si="58"/>
        <v>13649402</v>
      </c>
      <c r="AV119" s="52" t="str">
        <f t="shared" si="60"/>
        <v>No</v>
      </c>
      <c r="AW119" s="48">
        <f t="shared" si="54"/>
        <v>0</v>
      </c>
      <c r="AX119" s="53">
        <f t="shared" si="55"/>
        <v>170824330</v>
      </c>
      <c r="AY119" s="54">
        <f t="shared" si="59"/>
        <v>170824330</v>
      </c>
      <c r="AZ119" s="55"/>
      <c r="BA119" s="55"/>
      <c r="BB119" s="55"/>
      <c r="BC119" s="55"/>
      <c r="BD119" s="55"/>
    </row>
    <row r="120" spans="1:56" x14ac:dyDescent="0.5">
      <c r="A120" s="5" t="s">
        <v>81</v>
      </c>
      <c r="B120" s="5"/>
      <c r="C120" s="33"/>
      <c r="D120" s="33"/>
      <c r="E120" s="33"/>
      <c r="F120" s="2">
        <v>7</v>
      </c>
      <c r="G120">
        <v>0</v>
      </c>
      <c r="H120" s="5">
        <v>94</v>
      </c>
      <c r="I120" s="2" t="s">
        <v>173</v>
      </c>
      <c r="J120" s="45"/>
      <c r="K120">
        <v>3819.19</v>
      </c>
      <c r="L120"/>
      <c r="M120">
        <v>1366</v>
      </c>
      <c r="N120" s="46">
        <f t="shared" si="41"/>
        <v>409.8</v>
      </c>
      <c r="O120" s="46">
        <f t="shared" si="42"/>
        <v>2291.5100000000002</v>
      </c>
      <c r="P120" s="46">
        <f t="shared" si="43"/>
        <v>0</v>
      </c>
      <c r="Q120" s="46">
        <f t="shared" si="44"/>
        <v>0</v>
      </c>
      <c r="R120" s="47">
        <f t="shared" si="45"/>
        <v>0.36</v>
      </c>
      <c r="S120" s="47">
        <f t="shared" si="33"/>
        <v>0</v>
      </c>
      <c r="T120" s="46">
        <f t="shared" si="34"/>
        <v>0</v>
      </c>
      <c r="U120" s="46">
        <f t="shared" si="46"/>
        <v>0</v>
      </c>
      <c r="V120">
        <v>335</v>
      </c>
      <c r="W120" s="46">
        <f t="shared" si="47"/>
        <v>83.75</v>
      </c>
      <c r="X120" s="22">
        <f t="shared" si="48"/>
        <v>409.8</v>
      </c>
      <c r="Y120" s="10">
        <f t="shared" si="49"/>
        <v>4312.74</v>
      </c>
      <c r="Z120" s="72">
        <v>5781948181.6700001</v>
      </c>
      <c r="AA120" s="71">
        <v>30551</v>
      </c>
      <c r="AB120" s="22">
        <f t="shared" si="35"/>
        <v>189255.61</v>
      </c>
      <c r="AC120" s="9">
        <f t="shared" si="36"/>
        <v>0.68690099999999998</v>
      </c>
      <c r="AD120" s="71">
        <v>98585</v>
      </c>
      <c r="AE120" s="9">
        <f t="shared" si="37"/>
        <v>0.678257</v>
      </c>
      <c r="AF120" s="9">
        <f t="shared" si="56"/>
        <v>0.31569199999999997</v>
      </c>
      <c r="AG120" s="49">
        <f t="shared" si="38"/>
        <v>0.31569199999999997</v>
      </c>
      <c r="AH120" s="50">
        <f t="shared" si="39"/>
        <v>0</v>
      </c>
      <c r="AI120" s="51">
        <f t="shared" si="50"/>
        <v>0.31569199999999997</v>
      </c>
      <c r="AJ120">
        <v>0</v>
      </c>
      <c r="AK120">
        <v>0</v>
      </c>
      <c r="AL120" s="21">
        <f t="shared" si="51"/>
        <v>0</v>
      </c>
      <c r="AM120">
        <v>0</v>
      </c>
      <c r="AN120">
        <v>0</v>
      </c>
      <c r="AO120" s="21">
        <f t="shared" si="52"/>
        <v>0</v>
      </c>
      <c r="AP120" s="21">
        <f t="shared" si="40"/>
        <v>15691259</v>
      </c>
      <c r="AQ120" s="21">
        <f t="shared" si="53"/>
        <v>15691259</v>
      </c>
      <c r="AR120" s="48">
        <v>12983806</v>
      </c>
      <c r="AS120" s="48">
        <f t="shared" si="57"/>
        <v>15691259</v>
      </c>
      <c r="AT120" s="71">
        <v>16889688</v>
      </c>
      <c r="AU120" s="21">
        <f t="shared" si="58"/>
        <v>1198429</v>
      </c>
      <c r="AV120" s="52" t="str">
        <f t="shared" si="60"/>
        <v>No</v>
      </c>
      <c r="AW120" s="48">
        <f t="shared" si="54"/>
        <v>0</v>
      </c>
      <c r="AX120" s="53">
        <f t="shared" si="55"/>
        <v>16889688</v>
      </c>
      <c r="AY120" s="54">
        <f t="shared" si="59"/>
        <v>16889688</v>
      </c>
      <c r="AZ120" s="55"/>
      <c r="BA120" s="55"/>
      <c r="BB120" s="55"/>
      <c r="BC120" s="55"/>
      <c r="BD120" s="55"/>
    </row>
    <row r="121" spans="1:56" x14ac:dyDescent="0.5">
      <c r="A121" s="5" t="s">
        <v>91</v>
      </c>
      <c r="B121" s="5">
        <v>1</v>
      </c>
      <c r="C121" s="33">
        <v>1</v>
      </c>
      <c r="D121" s="33">
        <v>0</v>
      </c>
      <c r="E121" s="33">
        <v>1</v>
      </c>
      <c r="F121" s="2">
        <v>10</v>
      </c>
      <c r="G121">
        <v>14</v>
      </c>
      <c r="H121" s="5">
        <v>95</v>
      </c>
      <c r="I121" s="2" t="s">
        <v>174</v>
      </c>
      <c r="J121" s="45"/>
      <c r="K121">
        <v>3031.8</v>
      </c>
      <c r="L121"/>
      <c r="M121">
        <v>2626</v>
      </c>
      <c r="N121" s="46">
        <f t="shared" si="41"/>
        <v>787.8</v>
      </c>
      <c r="O121" s="46">
        <f t="shared" si="42"/>
        <v>1819.08</v>
      </c>
      <c r="P121" s="46">
        <f t="shared" si="43"/>
        <v>806.92000000000007</v>
      </c>
      <c r="Q121" s="46">
        <f t="shared" si="44"/>
        <v>121.04</v>
      </c>
      <c r="R121" s="47">
        <f t="shared" si="45"/>
        <v>0.87</v>
      </c>
      <c r="S121" s="47">
        <f t="shared" si="33"/>
        <v>0.27</v>
      </c>
      <c r="T121" s="46">
        <f t="shared" si="34"/>
        <v>818.59</v>
      </c>
      <c r="U121" s="46">
        <f t="shared" si="46"/>
        <v>122.79</v>
      </c>
      <c r="V121">
        <v>900</v>
      </c>
      <c r="W121" s="46">
        <f t="shared" si="47"/>
        <v>225</v>
      </c>
      <c r="X121" s="22">
        <f t="shared" si="48"/>
        <v>787.8</v>
      </c>
      <c r="Y121" s="10">
        <f t="shared" si="49"/>
        <v>4165.6400000000003</v>
      </c>
      <c r="Z121" s="72">
        <v>3309834210.6700001</v>
      </c>
      <c r="AA121" s="71">
        <v>27199</v>
      </c>
      <c r="AB121" s="22">
        <f t="shared" si="35"/>
        <v>121689.56</v>
      </c>
      <c r="AC121" s="9">
        <f t="shared" si="36"/>
        <v>0.44167099999999998</v>
      </c>
      <c r="AD121" s="71">
        <v>60123</v>
      </c>
      <c r="AE121" s="9">
        <f t="shared" si="37"/>
        <v>0.41364200000000001</v>
      </c>
      <c r="AF121" s="9">
        <f t="shared" si="56"/>
        <v>0.56673799999999996</v>
      </c>
      <c r="AG121" s="49">
        <f t="shared" si="38"/>
        <v>0.56673799999999996</v>
      </c>
      <c r="AH121" s="50">
        <f t="shared" si="39"/>
        <v>0.04</v>
      </c>
      <c r="AI121" s="51">
        <f t="shared" si="50"/>
        <v>0.606738</v>
      </c>
      <c r="AJ121">
        <v>0</v>
      </c>
      <c r="AK121">
        <v>0</v>
      </c>
      <c r="AL121" s="21">
        <f t="shared" si="51"/>
        <v>0</v>
      </c>
      <c r="AM121">
        <v>0</v>
      </c>
      <c r="AN121">
        <v>0</v>
      </c>
      <c r="AO121" s="21">
        <f t="shared" si="52"/>
        <v>0</v>
      </c>
      <c r="AP121" s="21">
        <f t="shared" si="40"/>
        <v>29128885</v>
      </c>
      <c r="AQ121" s="21">
        <f t="shared" si="53"/>
        <v>29128885</v>
      </c>
      <c r="AR121" s="48">
        <v>25806077</v>
      </c>
      <c r="AS121" s="48">
        <f t="shared" si="57"/>
        <v>31150657</v>
      </c>
      <c r="AT121" s="71">
        <v>31150657</v>
      </c>
      <c r="AU121" s="21">
        <f t="shared" si="58"/>
        <v>2021772</v>
      </c>
      <c r="AV121" s="52" t="str">
        <f t="shared" si="60"/>
        <v>No</v>
      </c>
      <c r="AW121" s="48">
        <f t="shared" si="54"/>
        <v>0</v>
      </c>
      <c r="AX121" s="53">
        <f t="shared" si="55"/>
        <v>31150657</v>
      </c>
      <c r="AY121" s="54">
        <f t="shared" si="59"/>
        <v>31150657</v>
      </c>
      <c r="AZ121" s="55"/>
      <c r="BA121" s="55"/>
      <c r="BB121" s="55"/>
      <c r="BC121" s="55"/>
      <c r="BD121" s="55"/>
    </row>
    <row r="122" spans="1:56" x14ac:dyDescent="0.5">
      <c r="A122" s="5" t="s">
        <v>81</v>
      </c>
      <c r="B122" s="5"/>
      <c r="C122" s="33"/>
      <c r="D122" s="33"/>
      <c r="E122" s="33"/>
      <c r="F122" s="2">
        <v>5</v>
      </c>
      <c r="G122">
        <v>0</v>
      </c>
      <c r="H122" s="5">
        <v>96</v>
      </c>
      <c r="I122" s="2" t="s">
        <v>175</v>
      </c>
      <c r="J122" s="45"/>
      <c r="K122">
        <v>3437.08</v>
      </c>
      <c r="L122"/>
      <c r="M122">
        <v>1277</v>
      </c>
      <c r="N122" s="46">
        <f t="shared" si="41"/>
        <v>383.1</v>
      </c>
      <c r="O122" s="46">
        <f t="shared" si="42"/>
        <v>2062.25</v>
      </c>
      <c r="P122" s="46">
        <f t="shared" si="43"/>
        <v>0</v>
      </c>
      <c r="Q122" s="46">
        <f t="shared" si="44"/>
        <v>0</v>
      </c>
      <c r="R122" s="47">
        <f t="shared" si="45"/>
        <v>0.37</v>
      </c>
      <c r="S122" s="47">
        <f t="shared" si="33"/>
        <v>0</v>
      </c>
      <c r="T122" s="46">
        <f t="shared" si="34"/>
        <v>0</v>
      </c>
      <c r="U122" s="46">
        <f t="shared" si="46"/>
        <v>0</v>
      </c>
      <c r="V122">
        <v>321</v>
      </c>
      <c r="W122" s="46">
        <f t="shared" si="47"/>
        <v>80.25</v>
      </c>
      <c r="X122" s="22">
        <f t="shared" si="48"/>
        <v>383.1</v>
      </c>
      <c r="Y122" s="10">
        <f t="shared" si="49"/>
        <v>3900.43</v>
      </c>
      <c r="Z122" s="72">
        <v>6242716232</v>
      </c>
      <c r="AA122" s="71">
        <v>28161</v>
      </c>
      <c r="AB122" s="22">
        <f t="shared" si="35"/>
        <v>221679.49</v>
      </c>
      <c r="AC122" s="9">
        <f t="shared" si="36"/>
        <v>0.80458300000000005</v>
      </c>
      <c r="AD122" s="71">
        <v>103630</v>
      </c>
      <c r="AE122" s="9">
        <f t="shared" si="37"/>
        <v>0.71296599999999999</v>
      </c>
      <c r="AF122" s="9">
        <f t="shared" si="56"/>
        <v>0.22290199999999999</v>
      </c>
      <c r="AG122" s="49">
        <f t="shared" si="38"/>
        <v>0.22290199999999999</v>
      </c>
      <c r="AH122" s="50">
        <f t="shared" si="39"/>
        <v>0</v>
      </c>
      <c r="AI122" s="51">
        <f t="shared" si="50"/>
        <v>0.22290199999999999</v>
      </c>
      <c r="AJ122">
        <v>0</v>
      </c>
      <c r="AK122">
        <v>0</v>
      </c>
      <c r="AL122" s="21">
        <f t="shared" si="51"/>
        <v>0</v>
      </c>
      <c r="AM122">
        <v>0</v>
      </c>
      <c r="AN122">
        <v>0</v>
      </c>
      <c r="AO122" s="21">
        <f t="shared" si="52"/>
        <v>0</v>
      </c>
      <c r="AP122" s="21">
        <f t="shared" si="40"/>
        <v>10019992</v>
      </c>
      <c r="AQ122" s="21">
        <f t="shared" si="53"/>
        <v>10019992</v>
      </c>
      <c r="AR122" s="48">
        <v>11832806</v>
      </c>
      <c r="AS122" s="48">
        <f t="shared" si="57"/>
        <v>10019992</v>
      </c>
      <c r="AT122" s="71">
        <v>11645304</v>
      </c>
      <c r="AU122" s="21">
        <f t="shared" si="58"/>
        <v>1625312</v>
      </c>
      <c r="AV122" s="52" t="str">
        <f t="shared" si="60"/>
        <v>No</v>
      </c>
      <c r="AW122" s="48">
        <f t="shared" si="54"/>
        <v>0</v>
      </c>
      <c r="AX122" s="53">
        <f t="shared" si="55"/>
        <v>11645304</v>
      </c>
      <c r="AY122" s="54">
        <f t="shared" si="59"/>
        <v>11645304</v>
      </c>
      <c r="AZ122" s="55"/>
      <c r="BA122" s="55"/>
      <c r="BB122" s="55"/>
      <c r="BC122" s="55"/>
      <c r="BD122" s="55"/>
    </row>
    <row r="123" spans="1:56" x14ac:dyDescent="0.5">
      <c r="A123" s="5" t="s">
        <v>77</v>
      </c>
      <c r="B123" s="5"/>
      <c r="C123" s="33"/>
      <c r="D123" s="33"/>
      <c r="E123" s="33"/>
      <c r="F123" s="2">
        <v>3</v>
      </c>
      <c r="G123">
        <v>0</v>
      </c>
      <c r="H123" s="5">
        <v>97</v>
      </c>
      <c r="I123" s="2" t="s">
        <v>176</v>
      </c>
      <c r="J123" s="45"/>
      <c r="K123">
        <v>3882.31</v>
      </c>
      <c r="L123"/>
      <c r="M123">
        <v>604</v>
      </c>
      <c r="N123" s="46">
        <f t="shared" si="41"/>
        <v>181.2</v>
      </c>
      <c r="O123" s="46">
        <f t="shared" si="42"/>
        <v>2329.39</v>
      </c>
      <c r="P123" s="46">
        <f t="shared" si="43"/>
        <v>0</v>
      </c>
      <c r="Q123" s="46">
        <f t="shared" si="44"/>
        <v>0</v>
      </c>
      <c r="R123" s="47">
        <f t="shared" si="45"/>
        <v>0.16</v>
      </c>
      <c r="S123" s="47">
        <f t="shared" si="33"/>
        <v>0</v>
      </c>
      <c r="T123" s="46">
        <f t="shared" si="34"/>
        <v>0</v>
      </c>
      <c r="U123" s="46">
        <f t="shared" si="46"/>
        <v>0</v>
      </c>
      <c r="V123">
        <v>66</v>
      </c>
      <c r="W123" s="46">
        <f t="shared" si="47"/>
        <v>16.5</v>
      </c>
      <c r="X123" s="22">
        <f t="shared" si="48"/>
        <v>181.2</v>
      </c>
      <c r="Y123" s="10">
        <f t="shared" si="49"/>
        <v>4080.0099999999998</v>
      </c>
      <c r="Z123" s="72">
        <v>6970302966.3299999</v>
      </c>
      <c r="AA123" s="71">
        <v>27384</v>
      </c>
      <c r="AB123" s="22">
        <f t="shared" si="35"/>
        <v>254539.26</v>
      </c>
      <c r="AC123" s="9">
        <f t="shared" si="36"/>
        <v>0.92384699999999997</v>
      </c>
      <c r="AD123" s="71">
        <v>148067</v>
      </c>
      <c r="AE123" s="9">
        <f t="shared" si="37"/>
        <v>1.0186900000000001</v>
      </c>
      <c r="AF123" s="9">
        <f t="shared" si="56"/>
        <v>4.7699999999999999E-2</v>
      </c>
      <c r="AG123" s="49">
        <f t="shared" si="38"/>
        <v>4.7699999999999999E-2</v>
      </c>
      <c r="AH123" s="50">
        <f t="shared" si="39"/>
        <v>0</v>
      </c>
      <c r="AI123" s="51">
        <f t="shared" si="50"/>
        <v>4.7699999999999999E-2</v>
      </c>
      <c r="AJ123">
        <v>0</v>
      </c>
      <c r="AK123">
        <v>0</v>
      </c>
      <c r="AL123" s="21">
        <f t="shared" si="51"/>
        <v>0</v>
      </c>
      <c r="AM123">
        <v>0</v>
      </c>
      <c r="AN123">
        <v>0</v>
      </c>
      <c r="AO123" s="21">
        <f t="shared" si="52"/>
        <v>0</v>
      </c>
      <c r="AP123" s="21">
        <f t="shared" si="40"/>
        <v>2242955</v>
      </c>
      <c r="AQ123" s="21">
        <f t="shared" si="53"/>
        <v>2242955</v>
      </c>
      <c r="AR123" s="48">
        <v>4893944</v>
      </c>
      <c r="AS123" s="48">
        <f t="shared" si="57"/>
        <v>2242955</v>
      </c>
      <c r="AT123" s="71">
        <v>4495691</v>
      </c>
      <c r="AU123" s="21">
        <f t="shared" si="58"/>
        <v>2252736</v>
      </c>
      <c r="AV123" s="52" t="str">
        <f t="shared" si="60"/>
        <v>No</v>
      </c>
      <c r="AW123" s="48">
        <f t="shared" si="54"/>
        <v>0</v>
      </c>
      <c r="AX123" s="53">
        <f t="shared" si="55"/>
        <v>4495691</v>
      </c>
      <c r="AY123" s="54">
        <f t="shared" si="59"/>
        <v>4495691</v>
      </c>
      <c r="AZ123" s="55"/>
      <c r="BA123" s="55"/>
      <c r="BB123" s="55"/>
      <c r="BC123" s="55"/>
      <c r="BD123" s="55"/>
    </row>
    <row r="124" spans="1:56" x14ac:dyDescent="0.5">
      <c r="A124" s="5" t="s">
        <v>75</v>
      </c>
      <c r="B124" s="5"/>
      <c r="C124" s="33"/>
      <c r="D124" s="33"/>
      <c r="E124" s="33"/>
      <c r="F124" s="2">
        <v>2</v>
      </c>
      <c r="G124">
        <v>0</v>
      </c>
      <c r="H124" s="5">
        <v>98</v>
      </c>
      <c r="I124" s="2" t="s">
        <v>177</v>
      </c>
      <c r="J124" s="45"/>
      <c r="K124">
        <v>113.82</v>
      </c>
      <c r="L124"/>
      <c r="M124">
        <v>37</v>
      </c>
      <c r="N124" s="46">
        <f t="shared" si="41"/>
        <v>11.1</v>
      </c>
      <c r="O124" s="46">
        <f t="shared" si="42"/>
        <v>68.290000000000006</v>
      </c>
      <c r="P124" s="46">
        <f t="shared" si="43"/>
        <v>0</v>
      </c>
      <c r="Q124" s="46">
        <f t="shared" si="44"/>
        <v>0</v>
      </c>
      <c r="R124" s="47">
        <f t="shared" si="45"/>
        <v>0.33</v>
      </c>
      <c r="S124" s="47">
        <f t="shared" si="33"/>
        <v>0</v>
      </c>
      <c r="T124" s="46">
        <f t="shared" si="34"/>
        <v>0</v>
      </c>
      <c r="U124" s="46">
        <f t="shared" si="46"/>
        <v>0</v>
      </c>
      <c r="V124">
        <v>5</v>
      </c>
      <c r="W124" s="46">
        <f t="shared" si="47"/>
        <v>1.25</v>
      </c>
      <c r="X124" s="22">
        <f t="shared" si="48"/>
        <v>11.1</v>
      </c>
      <c r="Y124" s="10">
        <f t="shared" si="49"/>
        <v>126.16999999999999</v>
      </c>
      <c r="Z124" s="72">
        <v>575728839.66999996</v>
      </c>
      <c r="AA124" s="71">
        <v>1732</v>
      </c>
      <c r="AB124" s="22">
        <f t="shared" si="35"/>
        <v>332406.95</v>
      </c>
      <c r="AC124" s="9">
        <f t="shared" si="36"/>
        <v>1.206467</v>
      </c>
      <c r="AD124" s="71">
        <v>85859</v>
      </c>
      <c r="AE124" s="9">
        <f t="shared" si="37"/>
        <v>0.59070299999999998</v>
      </c>
      <c r="AF124" s="9">
        <f t="shared" si="56"/>
        <v>-2.1738E-2</v>
      </c>
      <c r="AG124" s="49">
        <f t="shared" si="38"/>
        <v>0.01</v>
      </c>
      <c r="AH124" s="50">
        <f t="shared" si="39"/>
        <v>0</v>
      </c>
      <c r="AI124" s="51">
        <f t="shared" si="50"/>
        <v>0.01</v>
      </c>
      <c r="AJ124">
        <v>63</v>
      </c>
      <c r="AK124">
        <v>6</v>
      </c>
      <c r="AL124" s="21">
        <f t="shared" si="51"/>
        <v>37800</v>
      </c>
      <c r="AM124">
        <v>0</v>
      </c>
      <c r="AN124">
        <v>0</v>
      </c>
      <c r="AO124" s="21">
        <f t="shared" si="52"/>
        <v>0</v>
      </c>
      <c r="AP124" s="21">
        <f t="shared" si="40"/>
        <v>14541</v>
      </c>
      <c r="AQ124" s="21">
        <f t="shared" si="53"/>
        <v>52341</v>
      </c>
      <c r="AR124" s="48">
        <v>25815</v>
      </c>
      <c r="AS124" s="48">
        <f t="shared" si="57"/>
        <v>52341</v>
      </c>
      <c r="AT124" s="71">
        <v>55415</v>
      </c>
      <c r="AU124" s="21">
        <f t="shared" si="58"/>
        <v>3074</v>
      </c>
      <c r="AV124" s="52" t="str">
        <f t="shared" si="60"/>
        <v>No</v>
      </c>
      <c r="AW124" s="48">
        <f t="shared" si="54"/>
        <v>0</v>
      </c>
      <c r="AX124" s="53">
        <f t="shared" si="55"/>
        <v>55415</v>
      </c>
      <c r="AY124" s="54">
        <f t="shared" si="59"/>
        <v>55415</v>
      </c>
      <c r="AZ124" s="55"/>
      <c r="BA124" s="55"/>
      <c r="BB124" s="55"/>
      <c r="BC124" s="55"/>
      <c r="BD124" s="55"/>
    </row>
    <row r="125" spans="1:56" x14ac:dyDescent="0.5">
      <c r="A125" s="5" t="s">
        <v>75</v>
      </c>
      <c r="B125" s="5"/>
      <c r="C125" s="33"/>
      <c r="D125" s="33"/>
      <c r="E125" s="33"/>
      <c r="F125" s="2">
        <v>6</v>
      </c>
      <c r="G125">
        <v>0</v>
      </c>
      <c r="H125" s="5">
        <v>99</v>
      </c>
      <c r="I125" s="2" t="s">
        <v>178</v>
      </c>
      <c r="J125" s="45"/>
      <c r="K125">
        <v>1577.1</v>
      </c>
      <c r="L125"/>
      <c r="M125">
        <v>355</v>
      </c>
      <c r="N125" s="46">
        <f t="shared" si="41"/>
        <v>106.5</v>
      </c>
      <c r="O125" s="46">
        <f t="shared" si="42"/>
        <v>946.26</v>
      </c>
      <c r="P125" s="46">
        <f t="shared" si="43"/>
        <v>0</v>
      </c>
      <c r="Q125" s="46">
        <f t="shared" si="44"/>
        <v>0</v>
      </c>
      <c r="R125" s="47">
        <f t="shared" si="45"/>
        <v>0.23</v>
      </c>
      <c r="S125" s="47">
        <f t="shared" si="33"/>
        <v>0</v>
      </c>
      <c r="T125" s="46">
        <f t="shared" si="34"/>
        <v>0</v>
      </c>
      <c r="U125" s="46">
        <f t="shared" si="46"/>
        <v>0</v>
      </c>
      <c r="V125">
        <v>25</v>
      </c>
      <c r="W125" s="46">
        <f t="shared" si="47"/>
        <v>6.25</v>
      </c>
      <c r="X125" s="22">
        <f t="shared" si="48"/>
        <v>106.5</v>
      </c>
      <c r="Y125" s="10">
        <f t="shared" si="49"/>
        <v>1689.85</v>
      </c>
      <c r="Z125" s="72">
        <v>2622651712.3299999</v>
      </c>
      <c r="AA125" s="71">
        <v>13487</v>
      </c>
      <c r="AB125" s="22">
        <f t="shared" si="35"/>
        <v>194457.75</v>
      </c>
      <c r="AC125" s="9">
        <f t="shared" si="36"/>
        <v>0.70578200000000002</v>
      </c>
      <c r="AD125" s="71">
        <v>113687</v>
      </c>
      <c r="AE125" s="9">
        <f t="shared" si="37"/>
        <v>0.78215800000000002</v>
      </c>
      <c r="AF125" s="9">
        <f t="shared" si="56"/>
        <v>0.27130500000000002</v>
      </c>
      <c r="AG125" s="49">
        <f t="shared" si="38"/>
        <v>0.27130500000000002</v>
      </c>
      <c r="AH125" s="50">
        <f t="shared" si="39"/>
        <v>0</v>
      </c>
      <c r="AI125" s="51">
        <f t="shared" si="50"/>
        <v>0.27130500000000002</v>
      </c>
      <c r="AJ125">
        <v>0</v>
      </c>
      <c r="AK125">
        <v>0</v>
      </c>
      <c r="AL125" s="21">
        <f t="shared" si="51"/>
        <v>0</v>
      </c>
      <c r="AM125">
        <v>0</v>
      </c>
      <c r="AN125">
        <v>0</v>
      </c>
      <c r="AO125" s="21">
        <f t="shared" si="52"/>
        <v>0</v>
      </c>
      <c r="AP125" s="21">
        <f t="shared" si="40"/>
        <v>5283806</v>
      </c>
      <c r="AQ125" s="21">
        <f t="shared" si="53"/>
        <v>5283806</v>
      </c>
      <c r="AR125" s="48">
        <v>8076776</v>
      </c>
      <c r="AS125" s="48">
        <f t="shared" si="57"/>
        <v>5283806</v>
      </c>
      <c r="AT125" s="71">
        <v>7331325</v>
      </c>
      <c r="AU125" s="21">
        <f t="shared" si="58"/>
        <v>2047519</v>
      </c>
      <c r="AV125" s="52" t="str">
        <f t="shared" si="60"/>
        <v>No</v>
      </c>
      <c r="AW125" s="48">
        <f t="shared" si="54"/>
        <v>0</v>
      </c>
      <c r="AX125" s="53">
        <f t="shared" si="55"/>
        <v>7331325</v>
      </c>
      <c r="AY125" s="54">
        <f t="shared" si="59"/>
        <v>7331325</v>
      </c>
      <c r="AZ125" s="55"/>
      <c r="BA125" s="55"/>
      <c r="BB125" s="55"/>
      <c r="BC125" s="55"/>
      <c r="BD125" s="55"/>
    </row>
    <row r="126" spans="1:56" x14ac:dyDescent="0.5">
      <c r="A126" s="5" t="s">
        <v>99</v>
      </c>
      <c r="B126" s="5"/>
      <c r="C126" s="33"/>
      <c r="D126" s="33"/>
      <c r="E126" s="33"/>
      <c r="F126" s="2">
        <v>8</v>
      </c>
      <c r="G126">
        <v>0</v>
      </c>
      <c r="H126" s="5">
        <v>100</v>
      </c>
      <c r="I126" s="2" t="s">
        <v>179</v>
      </c>
      <c r="J126" s="45"/>
      <c r="K126">
        <v>334.81</v>
      </c>
      <c r="L126"/>
      <c r="M126">
        <v>139</v>
      </c>
      <c r="N126" s="46">
        <f t="shared" si="41"/>
        <v>41.7</v>
      </c>
      <c r="O126" s="46">
        <f t="shared" si="42"/>
        <v>200.89</v>
      </c>
      <c r="P126" s="46">
        <f t="shared" si="43"/>
        <v>0</v>
      </c>
      <c r="Q126" s="46">
        <f t="shared" si="44"/>
        <v>0</v>
      </c>
      <c r="R126" s="47">
        <f t="shared" si="45"/>
        <v>0.42</v>
      </c>
      <c r="S126" s="47">
        <f t="shared" si="33"/>
        <v>0</v>
      </c>
      <c r="T126" s="46">
        <f t="shared" si="34"/>
        <v>0</v>
      </c>
      <c r="U126" s="46">
        <f t="shared" si="46"/>
        <v>0</v>
      </c>
      <c r="V126">
        <v>25</v>
      </c>
      <c r="W126" s="46">
        <f t="shared" si="47"/>
        <v>6.25</v>
      </c>
      <c r="X126" s="22">
        <f t="shared" si="48"/>
        <v>41.7</v>
      </c>
      <c r="Y126" s="10">
        <f t="shared" si="49"/>
        <v>382.76</v>
      </c>
      <c r="Z126" s="72">
        <v>606170089</v>
      </c>
      <c r="AA126" s="71">
        <v>3200</v>
      </c>
      <c r="AB126" s="22">
        <f t="shared" si="35"/>
        <v>189428.15</v>
      </c>
      <c r="AC126" s="9">
        <f t="shared" si="36"/>
        <v>0.687527</v>
      </c>
      <c r="AD126" s="71">
        <v>68295</v>
      </c>
      <c r="AE126" s="9">
        <f t="shared" si="37"/>
        <v>0.469864</v>
      </c>
      <c r="AF126" s="9">
        <f t="shared" si="56"/>
        <v>0.377772</v>
      </c>
      <c r="AG126" s="49">
        <f t="shared" si="38"/>
        <v>0.377772</v>
      </c>
      <c r="AH126" s="50">
        <f t="shared" si="39"/>
        <v>0</v>
      </c>
      <c r="AI126" s="51">
        <f t="shared" si="50"/>
        <v>0.377772</v>
      </c>
      <c r="AJ126">
        <v>108</v>
      </c>
      <c r="AK126">
        <v>4</v>
      </c>
      <c r="AL126" s="21">
        <f t="shared" si="51"/>
        <v>43200</v>
      </c>
      <c r="AM126">
        <v>0</v>
      </c>
      <c r="AN126">
        <v>0</v>
      </c>
      <c r="AO126" s="21">
        <f t="shared" si="52"/>
        <v>0</v>
      </c>
      <c r="AP126" s="21">
        <f t="shared" si="40"/>
        <v>1666469</v>
      </c>
      <c r="AQ126" s="21">
        <f t="shared" si="53"/>
        <v>1709669</v>
      </c>
      <c r="AR126" s="48">
        <v>2044243</v>
      </c>
      <c r="AS126" s="48">
        <f t="shared" si="57"/>
        <v>1709669</v>
      </c>
      <c r="AT126" s="71">
        <v>1797318</v>
      </c>
      <c r="AU126" s="21">
        <f t="shared" si="58"/>
        <v>87649</v>
      </c>
      <c r="AV126" s="52" t="str">
        <f t="shared" si="60"/>
        <v>No</v>
      </c>
      <c r="AW126" s="48">
        <f t="shared" si="54"/>
        <v>0</v>
      </c>
      <c r="AX126" s="53">
        <f t="shared" si="55"/>
        <v>1797318</v>
      </c>
      <c r="AY126" s="54">
        <f t="shared" si="59"/>
        <v>1797318</v>
      </c>
      <c r="AZ126" s="55"/>
      <c r="BA126" s="55"/>
      <c r="BB126" s="55"/>
      <c r="BC126" s="55"/>
      <c r="BD126" s="55"/>
    </row>
    <row r="127" spans="1:56" x14ac:dyDescent="0.5">
      <c r="A127" s="5" t="s">
        <v>81</v>
      </c>
      <c r="B127" s="5"/>
      <c r="C127" s="33"/>
      <c r="D127" s="33"/>
      <c r="E127" s="33"/>
      <c r="F127" s="2">
        <v>4</v>
      </c>
      <c r="G127">
        <v>0</v>
      </c>
      <c r="H127" s="5">
        <v>101</v>
      </c>
      <c r="I127" s="2" t="s">
        <v>180</v>
      </c>
      <c r="J127" s="45"/>
      <c r="K127">
        <v>3193.85</v>
      </c>
      <c r="L127"/>
      <c r="M127">
        <v>717</v>
      </c>
      <c r="N127" s="46">
        <f t="shared" si="41"/>
        <v>215.1</v>
      </c>
      <c r="O127" s="46">
        <f t="shared" si="42"/>
        <v>1916.31</v>
      </c>
      <c r="P127" s="46">
        <f t="shared" si="43"/>
        <v>0</v>
      </c>
      <c r="Q127" s="46">
        <f t="shared" si="44"/>
        <v>0</v>
      </c>
      <c r="R127" s="47">
        <f t="shared" si="45"/>
        <v>0.22</v>
      </c>
      <c r="S127" s="47">
        <f t="shared" si="33"/>
        <v>0</v>
      </c>
      <c r="T127" s="46">
        <f t="shared" si="34"/>
        <v>0</v>
      </c>
      <c r="U127" s="46">
        <f t="shared" si="46"/>
        <v>0</v>
      </c>
      <c r="V127">
        <v>191</v>
      </c>
      <c r="W127" s="46">
        <f t="shared" si="47"/>
        <v>47.75</v>
      </c>
      <c r="X127" s="22">
        <f t="shared" si="48"/>
        <v>215.1</v>
      </c>
      <c r="Y127" s="10">
        <f t="shared" si="49"/>
        <v>3456.7</v>
      </c>
      <c r="Z127" s="72">
        <v>6247758898</v>
      </c>
      <c r="AA127" s="71">
        <v>24177</v>
      </c>
      <c r="AB127" s="22">
        <f t="shared" si="35"/>
        <v>258417.46</v>
      </c>
      <c r="AC127" s="9">
        <f t="shared" si="36"/>
        <v>0.93792299999999995</v>
      </c>
      <c r="AD127" s="71">
        <v>126807</v>
      </c>
      <c r="AE127" s="9">
        <f t="shared" si="37"/>
        <v>0.87242200000000003</v>
      </c>
      <c r="AF127" s="9">
        <f t="shared" si="56"/>
        <v>8.1726999999999994E-2</v>
      </c>
      <c r="AG127" s="49">
        <f t="shared" si="38"/>
        <v>8.1726999999999994E-2</v>
      </c>
      <c r="AH127" s="50">
        <f t="shared" si="39"/>
        <v>0</v>
      </c>
      <c r="AI127" s="51">
        <f t="shared" si="50"/>
        <v>8.1726999999999994E-2</v>
      </c>
      <c r="AJ127">
        <v>0</v>
      </c>
      <c r="AK127">
        <v>0</v>
      </c>
      <c r="AL127" s="21">
        <f t="shared" si="51"/>
        <v>0</v>
      </c>
      <c r="AM127">
        <v>0</v>
      </c>
      <c r="AN127">
        <v>0</v>
      </c>
      <c r="AO127" s="21">
        <f t="shared" si="52"/>
        <v>0</v>
      </c>
      <c r="AP127" s="21">
        <f t="shared" si="40"/>
        <v>3255878</v>
      </c>
      <c r="AQ127" s="21">
        <f t="shared" si="53"/>
        <v>3255878</v>
      </c>
      <c r="AR127" s="48">
        <v>3842088</v>
      </c>
      <c r="AS127" s="48">
        <f t="shared" si="57"/>
        <v>3255878</v>
      </c>
      <c r="AT127" s="71">
        <v>4399467</v>
      </c>
      <c r="AU127" s="21">
        <f t="shared" si="58"/>
        <v>1143589</v>
      </c>
      <c r="AV127" s="52" t="str">
        <f t="shared" si="60"/>
        <v>No</v>
      </c>
      <c r="AW127" s="48">
        <f t="shared" si="54"/>
        <v>0</v>
      </c>
      <c r="AX127" s="53">
        <f t="shared" si="55"/>
        <v>4399467</v>
      </c>
      <c r="AY127" s="54">
        <f t="shared" si="59"/>
        <v>4399467</v>
      </c>
      <c r="AZ127" s="55"/>
      <c r="BA127" s="55"/>
      <c r="BB127" s="55"/>
      <c r="BC127" s="55"/>
      <c r="BD127" s="55"/>
    </row>
    <row r="128" spans="1:56" x14ac:dyDescent="0.5">
      <c r="A128" s="5" t="s">
        <v>75</v>
      </c>
      <c r="B128" s="5"/>
      <c r="C128" s="33"/>
      <c r="D128" s="33"/>
      <c r="E128" s="33"/>
      <c r="F128" s="2">
        <v>4</v>
      </c>
      <c r="G128">
        <v>0</v>
      </c>
      <c r="H128" s="5">
        <v>102</v>
      </c>
      <c r="I128" s="2" t="s">
        <v>181</v>
      </c>
      <c r="J128" s="45"/>
      <c r="K128">
        <v>712.09</v>
      </c>
      <c r="L128"/>
      <c r="M128">
        <v>122</v>
      </c>
      <c r="N128" s="46">
        <f t="shared" si="41"/>
        <v>36.6</v>
      </c>
      <c r="O128" s="46">
        <f t="shared" si="42"/>
        <v>427.25</v>
      </c>
      <c r="P128" s="46">
        <f t="shared" si="43"/>
        <v>0</v>
      </c>
      <c r="Q128" s="46">
        <f t="shared" si="44"/>
        <v>0</v>
      </c>
      <c r="R128" s="47">
        <f t="shared" si="45"/>
        <v>0.17</v>
      </c>
      <c r="S128" s="47">
        <f t="shared" si="33"/>
        <v>0</v>
      </c>
      <c r="T128" s="46">
        <f t="shared" si="34"/>
        <v>0</v>
      </c>
      <c r="U128" s="46">
        <f t="shared" si="46"/>
        <v>0</v>
      </c>
      <c r="V128">
        <v>1</v>
      </c>
      <c r="W128" s="46">
        <f t="shared" si="47"/>
        <v>0.25</v>
      </c>
      <c r="X128" s="22">
        <f t="shared" si="48"/>
        <v>36.6</v>
      </c>
      <c r="Y128" s="10">
        <f t="shared" si="49"/>
        <v>748.94</v>
      </c>
      <c r="Z128" s="72">
        <v>1275320804</v>
      </c>
      <c r="AA128" s="71">
        <v>5154</v>
      </c>
      <c r="AB128" s="22">
        <f t="shared" si="35"/>
        <v>247442.92</v>
      </c>
      <c r="AC128" s="9">
        <f t="shared" si="36"/>
        <v>0.89809099999999997</v>
      </c>
      <c r="AD128" s="71">
        <v>115069</v>
      </c>
      <c r="AE128" s="9">
        <f t="shared" si="37"/>
        <v>0.79166599999999998</v>
      </c>
      <c r="AF128" s="9">
        <f t="shared" si="56"/>
        <v>0.13383700000000001</v>
      </c>
      <c r="AG128" s="49">
        <f t="shared" si="38"/>
        <v>0.13383700000000001</v>
      </c>
      <c r="AH128" s="50">
        <f t="shared" si="39"/>
        <v>0</v>
      </c>
      <c r="AI128" s="51">
        <f t="shared" si="50"/>
        <v>0.13383700000000001</v>
      </c>
      <c r="AJ128">
        <v>0</v>
      </c>
      <c r="AK128">
        <v>0</v>
      </c>
      <c r="AL128" s="21">
        <f t="shared" si="51"/>
        <v>0</v>
      </c>
      <c r="AM128">
        <v>0</v>
      </c>
      <c r="AN128">
        <v>0</v>
      </c>
      <c r="AO128" s="21">
        <f t="shared" si="52"/>
        <v>0</v>
      </c>
      <c r="AP128" s="21">
        <f t="shared" si="40"/>
        <v>1155219</v>
      </c>
      <c r="AQ128" s="21">
        <f t="shared" si="53"/>
        <v>1155219</v>
      </c>
      <c r="AR128" s="48">
        <v>2834470</v>
      </c>
      <c r="AS128" s="48">
        <f t="shared" si="57"/>
        <v>1155219</v>
      </c>
      <c r="AT128" s="71">
        <v>2660307</v>
      </c>
      <c r="AU128" s="21">
        <f t="shared" si="58"/>
        <v>1505088</v>
      </c>
      <c r="AV128" s="52" t="str">
        <f t="shared" si="60"/>
        <v>No</v>
      </c>
      <c r="AW128" s="48">
        <f t="shared" si="54"/>
        <v>0</v>
      </c>
      <c r="AX128" s="53">
        <f t="shared" si="55"/>
        <v>2660307</v>
      </c>
      <c r="AY128" s="54">
        <f t="shared" si="59"/>
        <v>2660307</v>
      </c>
      <c r="AZ128" s="55"/>
      <c r="BA128" s="55"/>
      <c r="BB128" s="55"/>
      <c r="BC128" s="55"/>
      <c r="BD128" s="55"/>
    </row>
    <row r="129" spans="1:56" x14ac:dyDescent="0.5">
      <c r="A129" s="5" t="s">
        <v>73</v>
      </c>
      <c r="B129" s="5">
        <v>1</v>
      </c>
      <c r="C129" s="57">
        <v>1</v>
      </c>
      <c r="D129" s="57">
        <v>1</v>
      </c>
      <c r="E129" s="33"/>
      <c r="F129" s="2">
        <v>3</v>
      </c>
      <c r="G129">
        <v>0</v>
      </c>
      <c r="H129" s="5">
        <v>103</v>
      </c>
      <c r="I129" s="2" t="s">
        <v>182</v>
      </c>
      <c r="J129" s="45"/>
      <c r="K129">
        <v>11554.81</v>
      </c>
      <c r="L129"/>
      <c r="M129">
        <v>6261</v>
      </c>
      <c r="N129" s="46">
        <f t="shared" si="41"/>
        <v>1878.3</v>
      </c>
      <c r="O129" s="46">
        <f t="shared" si="42"/>
        <v>6932.89</v>
      </c>
      <c r="P129" s="46">
        <f t="shared" si="43"/>
        <v>0</v>
      </c>
      <c r="Q129" s="46">
        <f t="shared" si="44"/>
        <v>0</v>
      </c>
      <c r="R129" s="47">
        <f t="shared" si="45"/>
        <v>0.54</v>
      </c>
      <c r="S129" s="47">
        <f t="shared" si="33"/>
        <v>0</v>
      </c>
      <c r="T129" s="46">
        <f t="shared" si="34"/>
        <v>0</v>
      </c>
      <c r="U129" s="46">
        <f t="shared" si="46"/>
        <v>0</v>
      </c>
      <c r="V129">
        <v>2527</v>
      </c>
      <c r="W129" s="46">
        <f t="shared" si="47"/>
        <v>631.75</v>
      </c>
      <c r="X129" s="22">
        <f t="shared" si="48"/>
        <v>1878.3</v>
      </c>
      <c r="Y129" s="10">
        <f t="shared" si="49"/>
        <v>14064.859999999999</v>
      </c>
      <c r="Z129" s="72">
        <v>27641734268.330002</v>
      </c>
      <c r="AA129" s="71">
        <v>91375</v>
      </c>
      <c r="AB129" s="22">
        <f t="shared" si="35"/>
        <v>302508.71999999997</v>
      </c>
      <c r="AC129" s="9">
        <f t="shared" si="36"/>
        <v>1.097952</v>
      </c>
      <c r="AD129" s="71">
        <v>105301</v>
      </c>
      <c r="AE129" s="9">
        <f t="shared" si="37"/>
        <v>0.72446299999999997</v>
      </c>
      <c r="AF129" s="9">
        <f t="shared" si="56"/>
        <v>1.4095E-2</v>
      </c>
      <c r="AG129" s="49">
        <f t="shared" si="38"/>
        <v>0.1</v>
      </c>
      <c r="AH129" s="50">
        <f t="shared" si="39"/>
        <v>0</v>
      </c>
      <c r="AI129" s="51">
        <f t="shared" si="50"/>
        <v>0.1</v>
      </c>
      <c r="AJ129">
        <v>0</v>
      </c>
      <c r="AK129">
        <v>0</v>
      </c>
      <c r="AL129" s="21">
        <f t="shared" si="51"/>
        <v>0</v>
      </c>
      <c r="AM129">
        <v>0</v>
      </c>
      <c r="AN129">
        <v>0</v>
      </c>
      <c r="AO129" s="21">
        <f t="shared" si="52"/>
        <v>0</v>
      </c>
      <c r="AP129" s="21">
        <f t="shared" si="40"/>
        <v>16209751</v>
      </c>
      <c r="AQ129" s="21">
        <f t="shared" si="53"/>
        <v>16209751</v>
      </c>
      <c r="AR129" s="48">
        <v>11243340</v>
      </c>
      <c r="AS129" s="48">
        <f t="shared" si="57"/>
        <v>16447293</v>
      </c>
      <c r="AT129" s="71">
        <v>16447293</v>
      </c>
      <c r="AU129" s="21">
        <f t="shared" si="58"/>
        <v>237542</v>
      </c>
      <c r="AV129" s="52" t="str">
        <f t="shared" si="60"/>
        <v>No</v>
      </c>
      <c r="AW129" s="48">
        <f t="shared" si="54"/>
        <v>0</v>
      </c>
      <c r="AX129" s="53">
        <f t="shared" si="55"/>
        <v>16447293</v>
      </c>
      <c r="AY129" s="54">
        <f t="shared" si="59"/>
        <v>16447293</v>
      </c>
      <c r="AZ129" s="55"/>
      <c r="BA129" s="55"/>
      <c r="BB129" s="55"/>
      <c r="BC129" s="55"/>
      <c r="BD129" s="55"/>
    </row>
    <row r="130" spans="1:56" x14ac:dyDescent="0.5">
      <c r="A130" s="5" t="s">
        <v>73</v>
      </c>
      <c r="B130" s="5">
        <v>1</v>
      </c>
      <c r="C130" s="33">
        <v>1</v>
      </c>
      <c r="D130" s="33">
        <v>0</v>
      </c>
      <c r="E130" s="33">
        <v>1</v>
      </c>
      <c r="F130" s="2">
        <v>10</v>
      </c>
      <c r="G130">
        <v>10</v>
      </c>
      <c r="H130" s="5">
        <v>104</v>
      </c>
      <c r="I130" s="2" t="s">
        <v>183</v>
      </c>
      <c r="J130" s="45"/>
      <c r="K130">
        <v>4818</v>
      </c>
      <c r="L130"/>
      <c r="M130">
        <v>3740</v>
      </c>
      <c r="N130" s="46">
        <f t="shared" si="41"/>
        <v>1122</v>
      </c>
      <c r="O130" s="46">
        <f t="shared" si="42"/>
        <v>2890.8</v>
      </c>
      <c r="P130" s="46">
        <f t="shared" si="43"/>
        <v>849.19999999999982</v>
      </c>
      <c r="Q130" s="46">
        <f t="shared" si="44"/>
        <v>127.38</v>
      </c>
      <c r="R130" s="47">
        <f t="shared" si="45"/>
        <v>0.78</v>
      </c>
      <c r="S130" s="47">
        <f t="shared" si="33"/>
        <v>0.18000000000000005</v>
      </c>
      <c r="T130" s="46">
        <f t="shared" si="34"/>
        <v>867.24</v>
      </c>
      <c r="U130" s="46">
        <f t="shared" si="46"/>
        <v>130.09</v>
      </c>
      <c r="V130">
        <v>1029</v>
      </c>
      <c r="W130" s="46">
        <f t="shared" si="47"/>
        <v>257.25</v>
      </c>
      <c r="X130" s="22">
        <f t="shared" si="48"/>
        <v>1122</v>
      </c>
      <c r="Y130" s="10">
        <f t="shared" si="49"/>
        <v>6324.63</v>
      </c>
      <c r="Z130" s="72">
        <v>4073284113.3299999</v>
      </c>
      <c r="AA130" s="71">
        <v>39992</v>
      </c>
      <c r="AB130" s="22">
        <f t="shared" si="35"/>
        <v>101852.47</v>
      </c>
      <c r="AC130" s="9">
        <f t="shared" si="36"/>
        <v>0.369672</v>
      </c>
      <c r="AD130" s="71">
        <v>64185</v>
      </c>
      <c r="AE130" s="9">
        <f t="shared" si="37"/>
        <v>0.44158799999999998</v>
      </c>
      <c r="AF130" s="9">
        <f t="shared" si="56"/>
        <v>0.60875299999999999</v>
      </c>
      <c r="AG130" s="49">
        <f t="shared" si="38"/>
        <v>0.60875299999999999</v>
      </c>
      <c r="AH130" s="50">
        <f t="shared" si="39"/>
        <v>0.05</v>
      </c>
      <c r="AI130" s="51">
        <f t="shared" si="50"/>
        <v>0.65875300000000003</v>
      </c>
      <c r="AJ130">
        <v>0</v>
      </c>
      <c r="AK130">
        <v>0</v>
      </c>
      <c r="AL130" s="21">
        <f t="shared" si="51"/>
        <v>0</v>
      </c>
      <c r="AM130">
        <v>1455</v>
      </c>
      <c r="AN130">
        <v>4</v>
      </c>
      <c r="AO130" s="21">
        <f t="shared" si="52"/>
        <v>582000</v>
      </c>
      <c r="AP130" s="21">
        <f t="shared" si="40"/>
        <v>48017403</v>
      </c>
      <c r="AQ130" s="21">
        <f t="shared" si="53"/>
        <v>48599403</v>
      </c>
      <c r="AR130" s="48">
        <v>36209664</v>
      </c>
      <c r="AS130" s="48">
        <f t="shared" si="57"/>
        <v>49231266</v>
      </c>
      <c r="AT130" s="71">
        <v>49231266</v>
      </c>
      <c r="AU130" s="21">
        <f t="shared" si="58"/>
        <v>631863</v>
      </c>
      <c r="AV130" s="52" t="str">
        <f t="shared" si="60"/>
        <v>No</v>
      </c>
      <c r="AW130" s="48">
        <f t="shared" si="54"/>
        <v>0</v>
      </c>
      <c r="AX130" s="53">
        <f t="shared" si="55"/>
        <v>49231266</v>
      </c>
      <c r="AY130" s="54">
        <f t="shared" si="59"/>
        <v>49231266</v>
      </c>
      <c r="AZ130" s="55"/>
      <c r="BA130" s="55"/>
      <c r="BB130" s="55"/>
      <c r="BC130" s="55"/>
      <c r="BD130" s="55"/>
    </row>
    <row r="131" spans="1:56" x14ac:dyDescent="0.5">
      <c r="A131" s="5" t="s">
        <v>71</v>
      </c>
      <c r="B131" s="5"/>
      <c r="C131" s="33"/>
      <c r="D131" s="33"/>
      <c r="E131" s="33"/>
      <c r="F131" s="2">
        <v>2</v>
      </c>
      <c r="G131">
        <v>0</v>
      </c>
      <c r="H131" s="5">
        <v>105</v>
      </c>
      <c r="I131" s="2" t="s">
        <v>184</v>
      </c>
      <c r="J131" s="45"/>
      <c r="K131">
        <v>1046.6300000000001</v>
      </c>
      <c r="L131"/>
      <c r="M131">
        <v>149</v>
      </c>
      <c r="N131" s="46">
        <f t="shared" si="41"/>
        <v>44.7</v>
      </c>
      <c r="O131" s="46">
        <f t="shared" si="42"/>
        <v>627.98</v>
      </c>
      <c r="P131" s="46">
        <f t="shared" si="43"/>
        <v>0</v>
      </c>
      <c r="Q131" s="46">
        <f t="shared" si="44"/>
        <v>0</v>
      </c>
      <c r="R131" s="47">
        <f t="shared" si="45"/>
        <v>0.14000000000000001</v>
      </c>
      <c r="S131" s="47">
        <f t="shared" si="33"/>
        <v>0</v>
      </c>
      <c r="T131" s="46">
        <f t="shared" si="34"/>
        <v>0</v>
      </c>
      <c r="U131" s="46">
        <f t="shared" si="46"/>
        <v>0</v>
      </c>
      <c r="V131">
        <v>23</v>
      </c>
      <c r="W131" s="46">
        <f t="shared" si="47"/>
        <v>5.75</v>
      </c>
      <c r="X131" s="22">
        <f t="shared" si="48"/>
        <v>44.7</v>
      </c>
      <c r="Y131" s="10">
        <f t="shared" si="49"/>
        <v>1097.0800000000002</v>
      </c>
      <c r="Z131" s="72">
        <v>3500208799.6700001</v>
      </c>
      <c r="AA131" s="71">
        <v>7644</v>
      </c>
      <c r="AB131" s="22">
        <f t="shared" si="35"/>
        <v>457902.77</v>
      </c>
      <c r="AC131" s="9">
        <f t="shared" si="36"/>
        <v>1.661953</v>
      </c>
      <c r="AD131" s="71">
        <v>126904</v>
      </c>
      <c r="AE131" s="9">
        <f t="shared" si="37"/>
        <v>0.87309000000000003</v>
      </c>
      <c r="AF131" s="9">
        <f t="shared" si="56"/>
        <v>-0.42529400000000001</v>
      </c>
      <c r="AG131" s="49">
        <f t="shared" si="38"/>
        <v>0.01</v>
      </c>
      <c r="AH131" s="50">
        <f t="shared" si="39"/>
        <v>0</v>
      </c>
      <c r="AI131" s="51">
        <f t="shared" si="50"/>
        <v>0.01</v>
      </c>
      <c r="AJ131">
        <v>1032</v>
      </c>
      <c r="AK131">
        <v>13</v>
      </c>
      <c r="AL131" s="21">
        <f t="shared" si="51"/>
        <v>1341600</v>
      </c>
      <c r="AM131">
        <v>0</v>
      </c>
      <c r="AN131">
        <v>0</v>
      </c>
      <c r="AO131" s="21">
        <f t="shared" si="52"/>
        <v>0</v>
      </c>
      <c r="AP131" s="21">
        <f t="shared" si="40"/>
        <v>126438</v>
      </c>
      <c r="AQ131" s="21">
        <f t="shared" si="53"/>
        <v>1468038</v>
      </c>
      <c r="AR131" s="48">
        <v>247462</v>
      </c>
      <c r="AS131" s="48">
        <f t="shared" si="57"/>
        <v>1468038</v>
      </c>
      <c r="AT131" s="71">
        <v>1494874</v>
      </c>
      <c r="AU131" s="21">
        <f t="shared" si="58"/>
        <v>26836</v>
      </c>
      <c r="AV131" s="52" t="str">
        <f t="shared" si="60"/>
        <v>No</v>
      </c>
      <c r="AW131" s="48">
        <f t="shared" si="54"/>
        <v>0</v>
      </c>
      <c r="AX131" s="53">
        <f t="shared" si="55"/>
        <v>1494874</v>
      </c>
      <c r="AY131" s="54">
        <f t="shared" si="59"/>
        <v>1494874</v>
      </c>
      <c r="AZ131" s="55"/>
      <c r="BA131" s="55"/>
      <c r="BB131" s="55"/>
      <c r="BC131" s="55"/>
      <c r="BD131" s="55"/>
    </row>
    <row r="132" spans="1:56" x14ac:dyDescent="0.5">
      <c r="A132" s="5" t="s">
        <v>81</v>
      </c>
      <c r="B132" s="5"/>
      <c r="C132" s="33"/>
      <c r="D132" s="33"/>
      <c r="E132" s="33"/>
      <c r="F132" s="2">
        <v>2</v>
      </c>
      <c r="G132">
        <v>0</v>
      </c>
      <c r="H132" s="5">
        <v>106</v>
      </c>
      <c r="I132" s="2" t="s">
        <v>185</v>
      </c>
      <c r="J132" s="45"/>
      <c r="K132">
        <v>1007</v>
      </c>
      <c r="L132"/>
      <c r="M132">
        <v>259</v>
      </c>
      <c r="N132" s="46">
        <f t="shared" si="41"/>
        <v>77.7</v>
      </c>
      <c r="O132" s="46">
        <f t="shared" si="42"/>
        <v>604.20000000000005</v>
      </c>
      <c r="P132" s="46">
        <f t="shared" si="43"/>
        <v>0</v>
      </c>
      <c r="Q132" s="46">
        <f t="shared" si="44"/>
        <v>0</v>
      </c>
      <c r="R132" s="47">
        <f t="shared" si="45"/>
        <v>0.26</v>
      </c>
      <c r="S132" s="47">
        <f t="shared" si="33"/>
        <v>0</v>
      </c>
      <c r="T132" s="46">
        <f t="shared" si="34"/>
        <v>0</v>
      </c>
      <c r="U132" s="46">
        <f t="shared" si="46"/>
        <v>0</v>
      </c>
      <c r="V132">
        <v>74</v>
      </c>
      <c r="W132" s="46">
        <f t="shared" si="47"/>
        <v>18.5</v>
      </c>
      <c r="X132" s="22">
        <f t="shared" si="48"/>
        <v>77.7</v>
      </c>
      <c r="Y132" s="10">
        <f t="shared" si="49"/>
        <v>1103.2</v>
      </c>
      <c r="Z132" s="72">
        <v>4722994697.6700001</v>
      </c>
      <c r="AA132" s="71">
        <v>10515</v>
      </c>
      <c r="AB132" s="22">
        <f t="shared" si="35"/>
        <v>449167.35</v>
      </c>
      <c r="AC132" s="9">
        <f t="shared" si="36"/>
        <v>1.6302479999999999</v>
      </c>
      <c r="AD132" s="71">
        <v>119500</v>
      </c>
      <c r="AE132" s="9">
        <f t="shared" si="37"/>
        <v>0.82215099999999997</v>
      </c>
      <c r="AF132" s="9">
        <f t="shared" si="56"/>
        <v>-0.38781900000000002</v>
      </c>
      <c r="AG132" s="49">
        <f t="shared" si="38"/>
        <v>0.01</v>
      </c>
      <c r="AH132" s="50">
        <f t="shared" si="39"/>
        <v>0</v>
      </c>
      <c r="AI132" s="51">
        <f t="shared" si="50"/>
        <v>0.01</v>
      </c>
      <c r="AJ132">
        <v>0</v>
      </c>
      <c r="AK132">
        <v>0</v>
      </c>
      <c r="AL132" s="21">
        <f t="shared" si="51"/>
        <v>0</v>
      </c>
      <c r="AM132">
        <v>0</v>
      </c>
      <c r="AN132">
        <v>0</v>
      </c>
      <c r="AO132" s="21">
        <f t="shared" si="52"/>
        <v>0</v>
      </c>
      <c r="AP132" s="21">
        <f t="shared" si="40"/>
        <v>127144</v>
      </c>
      <c r="AQ132" s="21">
        <f t="shared" si="53"/>
        <v>127144</v>
      </c>
      <c r="AR132" s="48">
        <v>122907</v>
      </c>
      <c r="AS132" s="48">
        <f t="shared" si="57"/>
        <v>127144</v>
      </c>
      <c r="AT132" s="71">
        <v>132244</v>
      </c>
      <c r="AU132" s="21">
        <f t="shared" si="58"/>
        <v>5100</v>
      </c>
      <c r="AV132" s="52" t="str">
        <f t="shared" si="60"/>
        <v>No</v>
      </c>
      <c r="AW132" s="48">
        <f t="shared" si="54"/>
        <v>0</v>
      </c>
      <c r="AX132" s="53">
        <f t="shared" si="55"/>
        <v>132244</v>
      </c>
      <c r="AY132" s="54">
        <f t="shared" si="59"/>
        <v>132244</v>
      </c>
      <c r="AZ132" s="55"/>
      <c r="BA132" s="55"/>
      <c r="BB132" s="55"/>
      <c r="BC132" s="55"/>
      <c r="BD132" s="55"/>
    </row>
    <row r="133" spans="1:56" x14ac:dyDescent="0.5">
      <c r="A133" s="5" t="s">
        <v>77</v>
      </c>
      <c r="B133" s="5"/>
      <c r="C133" s="33"/>
      <c r="D133" s="33"/>
      <c r="E133" s="33"/>
      <c r="F133" s="2">
        <v>3</v>
      </c>
      <c r="G133">
        <v>0</v>
      </c>
      <c r="H133" s="5">
        <v>107</v>
      </c>
      <c r="I133" s="2" t="s">
        <v>186</v>
      </c>
      <c r="J133" s="45"/>
      <c r="K133">
        <v>2245.58</v>
      </c>
      <c r="L133"/>
      <c r="M133">
        <v>331</v>
      </c>
      <c r="N133" s="46">
        <f t="shared" si="41"/>
        <v>99.3</v>
      </c>
      <c r="O133" s="46">
        <f t="shared" si="42"/>
        <v>1347.35</v>
      </c>
      <c r="P133" s="46">
        <f t="shared" si="43"/>
        <v>0</v>
      </c>
      <c r="Q133" s="46">
        <f t="shared" si="44"/>
        <v>0</v>
      </c>
      <c r="R133" s="47">
        <f t="shared" si="45"/>
        <v>0.15</v>
      </c>
      <c r="S133" s="47">
        <f t="shared" si="33"/>
        <v>0</v>
      </c>
      <c r="T133" s="46">
        <f t="shared" si="34"/>
        <v>0</v>
      </c>
      <c r="U133" s="46">
        <f t="shared" si="46"/>
        <v>0</v>
      </c>
      <c r="V133">
        <v>95</v>
      </c>
      <c r="W133" s="46">
        <f t="shared" si="47"/>
        <v>23.75</v>
      </c>
      <c r="X133" s="22">
        <f t="shared" si="48"/>
        <v>99.3</v>
      </c>
      <c r="Y133" s="10">
        <f t="shared" si="49"/>
        <v>2368.63</v>
      </c>
      <c r="Z133" s="72">
        <v>4052425438.3299999</v>
      </c>
      <c r="AA133" s="71">
        <v>14251</v>
      </c>
      <c r="AB133" s="22">
        <f t="shared" si="35"/>
        <v>284360.78000000003</v>
      </c>
      <c r="AC133" s="9">
        <f t="shared" si="36"/>
        <v>1.032084</v>
      </c>
      <c r="AD133" s="71">
        <v>145625</v>
      </c>
      <c r="AE133" s="9">
        <f t="shared" si="37"/>
        <v>1.001889</v>
      </c>
      <c r="AF133" s="9">
        <f t="shared" si="56"/>
        <v>-2.3025E-2</v>
      </c>
      <c r="AG133" s="49">
        <f t="shared" si="38"/>
        <v>0.01</v>
      </c>
      <c r="AH133" s="50">
        <f t="shared" si="39"/>
        <v>0</v>
      </c>
      <c r="AI133" s="51">
        <f t="shared" si="50"/>
        <v>0.01</v>
      </c>
      <c r="AJ133">
        <v>1006</v>
      </c>
      <c r="AK133">
        <v>6</v>
      </c>
      <c r="AL133" s="21">
        <f t="shared" si="51"/>
        <v>603600</v>
      </c>
      <c r="AM133">
        <v>0</v>
      </c>
      <c r="AN133">
        <v>0</v>
      </c>
      <c r="AO133" s="21">
        <f t="shared" si="52"/>
        <v>0</v>
      </c>
      <c r="AP133" s="21">
        <f t="shared" si="40"/>
        <v>272985</v>
      </c>
      <c r="AQ133" s="21">
        <f t="shared" si="53"/>
        <v>876585</v>
      </c>
      <c r="AR133" s="48">
        <v>1509226</v>
      </c>
      <c r="AS133" s="48">
        <f t="shared" si="57"/>
        <v>876585</v>
      </c>
      <c r="AT133" s="71">
        <v>1015498</v>
      </c>
      <c r="AU133" s="21">
        <f t="shared" si="58"/>
        <v>138913</v>
      </c>
      <c r="AV133" s="52" t="str">
        <f t="shared" si="60"/>
        <v>No</v>
      </c>
      <c r="AW133" s="48">
        <f t="shared" si="54"/>
        <v>0</v>
      </c>
      <c r="AX133" s="53">
        <f t="shared" si="55"/>
        <v>1015498</v>
      </c>
      <c r="AY133" s="54">
        <f t="shared" si="59"/>
        <v>1015498</v>
      </c>
      <c r="AZ133" s="55"/>
      <c r="BA133" s="55"/>
      <c r="BB133" s="55"/>
      <c r="BC133" s="55"/>
      <c r="BD133" s="55"/>
    </row>
    <row r="134" spans="1:56" x14ac:dyDescent="0.5">
      <c r="A134" s="5" t="s">
        <v>71</v>
      </c>
      <c r="B134" s="5"/>
      <c r="C134" s="33"/>
      <c r="D134" s="33"/>
      <c r="E134" s="33"/>
      <c r="F134" s="2">
        <v>3</v>
      </c>
      <c r="G134">
        <v>0</v>
      </c>
      <c r="H134" s="5">
        <v>108</v>
      </c>
      <c r="I134" s="2" t="s">
        <v>187</v>
      </c>
      <c r="J134" s="45"/>
      <c r="K134">
        <v>1661.1</v>
      </c>
      <c r="L134"/>
      <c r="M134">
        <v>294</v>
      </c>
      <c r="N134" s="46">
        <f t="shared" si="41"/>
        <v>88.2</v>
      </c>
      <c r="O134" s="46">
        <f t="shared" si="42"/>
        <v>996.66</v>
      </c>
      <c r="P134" s="46">
        <f t="shared" si="43"/>
        <v>0</v>
      </c>
      <c r="Q134" s="46">
        <f t="shared" si="44"/>
        <v>0</v>
      </c>
      <c r="R134" s="47">
        <f t="shared" si="45"/>
        <v>0.18</v>
      </c>
      <c r="S134" s="47">
        <f t="shared" si="33"/>
        <v>0</v>
      </c>
      <c r="T134" s="46">
        <f t="shared" si="34"/>
        <v>0</v>
      </c>
      <c r="U134" s="46">
        <f t="shared" si="46"/>
        <v>0</v>
      </c>
      <c r="V134">
        <v>35</v>
      </c>
      <c r="W134" s="46">
        <f t="shared" si="47"/>
        <v>8.75</v>
      </c>
      <c r="X134" s="22">
        <f t="shared" si="48"/>
        <v>88.2</v>
      </c>
      <c r="Y134" s="10">
        <f t="shared" si="49"/>
        <v>1758.05</v>
      </c>
      <c r="Z134" s="72">
        <v>3362515268.6700001</v>
      </c>
      <c r="AA134" s="71">
        <v>12870</v>
      </c>
      <c r="AB134" s="22">
        <f t="shared" si="35"/>
        <v>261267.7</v>
      </c>
      <c r="AC134" s="9">
        <f t="shared" si="36"/>
        <v>0.948268</v>
      </c>
      <c r="AD134" s="71">
        <v>125563</v>
      </c>
      <c r="AE134" s="9">
        <f t="shared" si="37"/>
        <v>0.86386399999999997</v>
      </c>
      <c r="AF134" s="9">
        <f t="shared" si="56"/>
        <v>7.7052999999999996E-2</v>
      </c>
      <c r="AG134" s="49">
        <f t="shared" si="38"/>
        <v>7.7052999999999996E-2</v>
      </c>
      <c r="AH134" s="50">
        <f t="shared" si="39"/>
        <v>0</v>
      </c>
      <c r="AI134" s="51">
        <f t="shared" si="50"/>
        <v>7.7052999999999996E-2</v>
      </c>
      <c r="AJ134">
        <v>0</v>
      </c>
      <c r="AK134">
        <v>0</v>
      </c>
      <c r="AL134" s="21">
        <f t="shared" si="51"/>
        <v>0</v>
      </c>
      <c r="AM134">
        <v>0</v>
      </c>
      <c r="AN134">
        <v>0</v>
      </c>
      <c r="AO134" s="21">
        <f t="shared" si="52"/>
        <v>0</v>
      </c>
      <c r="AP134" s="21">
        <f t="shared" si="40"/>
        <v>1561211</v>
      </c>
      <c r="AQ134" s="21">
        <f t="shared" si="53"/>
        <v>1561211</v>
      </c>
      <c r="AR134" s="48">
        <v>4528763</v>
      </c>
      <c r="AS134" s="48">
        <f t="shared" si="57"/>
        <v>1561211</v>
      </c>
      <c r="AT134" s="71">
        <v>3677011</v>
      </c>
      <c r="AU134" s="21">
        <f t="shared" si="58"/>
        <v>2115800</v>
      </c>
      <c r="AV134" s="52" t="str">
        <f t="shared" si="60"/>
        <v>No</v>
      </c>
      <c r="AW134" s="48">
        <f t="shared" si="54"/>
        <v>0</v>
      </c>
      <c r="AX134" s="53">
        <f t="shared" si="55"/>
        <v>3677011</v>
      </c>
      <c r="AY134" s="54">
        <f t="shared" si="59"/>
        <v>3677011</v>
      </c>
      <c r="AZ134" s="55"/>
      <c r="BA134" s="55"/>
      <c r="BB134" s="55"/>
      <c r="BC134" s="55"/>
      <c r="BD134" s="55"/>
    </row>
    <row r="135" spans="1:56" x14ac:dyDescent="0.5">
      <c r="A135" s="5" t="s">
        <v>86</v>
      </c>
      <c r="B135" s="5"/>
      <c r="C135" s="57">
        <v>1</v>
      </c>
      <c r="D135" s="57">
        <v>1</v>
      </c>
      <c r="E135" s="33"/>
      <c r="F135" s="2">
        <v>9</v>
      </c>
      <c r="G135">
        <v>28</v>
      </c>
      <c r="H135" s="5">
        <v>109</v>
      </c>
      <c r="I135" s="2" t="s">
        <v>188</v>
      </c>
      <c r="J135" s="45"/>
      <c r="K135">
        <v>1761.94</v>
      </c>
      <c r="L135"/>
      <c r="M135">
        <v>980</v>
      </c>
      <c r="N135" s="46">
        <f t="shared" si="41"/>
        <v>294</v>
      </c>
      <c r="O135" s="46">
        <f t="shared" si="42"/>
        <v>1057.1600000000001</v>
      </c>
      <c r="P135" s="46">
        <f t="shared" si="43"/>
        <v>0</v>
      </c>
      <c r="Q135" s="46">
        <f t="shared" si="44"/>
        <v>0</v>
      </c>
      <c r="R135" s="47">
        <f t="shared" si="45"/>
        <v>0.56000000000000005</v>
      </c>
      <c r="S135" s="47">
        <f t="shared" si="33"/>
        <v>0</v>
      </c>
      <c r="T135" s="46">
        <f t="shared" si="34"/>
        <v>0</v>
      </c>
      <c r="U135" s="46">
        <f t="shared" si="46"/>
        <v>0</v>
      </c>
      <c r="V135">
        <v>16</v>
      </c>
      <c r="W135" s="46">
        <f t="shared" si="47"/>
        <v>4</v>
      </c>
      <c r="X135" s="22">
        <f t="shared" si="48"/>
        <v>294</v>
      </c>
      <c r="Y135" s="10">
        <f t="shared" si="49"/>
        <v>2059.94</v>
      </c>
      <c r="Z135" s="72">
        <v>2263418290</v>
      </c>
      <c r="AA135" s="71">
        <v>15079</v>
      </c>
      <c r="AB135" s="22">
        <f t="shared" si="35"/>
        <v>150104</v>
      </c>
      <c r="AC135" s="9">
        <f t="shared" si="36"/>
        <v>0.54480099999999998</v>
      </c>
      <c r="AD135" s="71">
        <v>75631</v>
      </c>
      <c r="AE135" s="9">
        <f t="shared" si="37"/>
        <v>0.52033600000000002</v>
      </c>
      <c r="AF135" s="9">
        <f t="shared" si="56"/>
        <v>0.46253899999999998</v>
      </c>
      <c r="AG135" s="49">
        <f t="shared" si="38"/>
        <v>0.46253899999999998</v>
      </c>
      <c r="AH135" s="50">
        <f t="shared" si="39"/>
        <v>0</v>
      </c>
      <c r="AI135" s="51">
        <f t="shared" si="50"/>
        <v>0.46253899999999998</v>
      </c>
      <c r="AJ135">
        <v>0</v>
      </c>
      <c r="AK135">
        <v>0</v>
      </c>
      <c r="AL135" s="21">
        <f t="shared" si="51"/>
        <v>0</v>
      </c>
      <c r="AM135">
        <v>0</v>
      </c>
      <c r="AN135">
        <v>0</v>
      </c>
      <c r="AO135" s="21">
        <f t="shared" si="52"/>
        <v>0</v>
      </c>
      <c r="AP135" s="21">
        <f t="shared" si="40"/>
        <v>10981050</v>
      </c>
      <c r="AQ135" s="21">
        <f t="shared" si="53"/>
        <v>10981050</v>
      </c>
      <c r="AR135" s="48">
        <v>15364444</v>
      </c>
      <c r="AS135" s="48">
        <f t="shared" si="57"/>
        <v>15364444</v>
      </c>
      <c r="AT135" s="71">
        <v>15364444</v>
      </c>
      <c r="AU135" s="21">
        <f t="shared" si="58"/>
        <v>4383394</v>
      </c>
      <c r="AV135" s="52" t="str">
        <f t="shared" si="60"/>
        <v>No</v>
      </c>
      <c r="AW135" s="48">
        <f t="shared" si="54"/>
        <v>0</v>
      </c>
      <c r="AX135" s="53">
        <f t="shared" si="55"/>
        <v>15364444</v>
      </c>
      <c r="AY135" s="54">
        <f t="shared" si="59"/>
        <v>15364444</v>
      </c>
      <c r="AZ135" s="55"/>
      <c r="BA135" s="55"/>
      <c r="BB135" s="55"/>
      <c r="BC135" s="55"/>
      <c r="BD135" s="55"/>
    </row>
    <row r="136" spans="1:56" x14ac:dyDescent="0.5">
      <c r="A136" s="5" t="s">
        <v>99</v>
      </c>
      <c r="B136" s="5"/>
      <c r="C136" s="33"/>
      <c r="D136" s="33"/>
      <c r="E136" s="33"/>
      <c r="F136" s="2">
        <v>8</v>
      </c>
      <c r="G136">
        <v>33</v>
      </c>
      <c r="H136" s="5">
        <v>110</v>
      </c>
      <c r="I136" s="2" t="s">
        <v>189</v>
      </c>
      <c r="J136" s="45"/>
      <c r="K136">
        <v>2156.2800000000002</v>
      </c>
      <c r="L136"/>
      <c r="M136">
        <v>857</v>
      </c>
      <c r="N136" s="46">
        <f t="shared" si="41"/>
        <v>257.10000000000002</v>
      </c>
      <c r="O136" s="46">
        <f t="shared" si="42"/>
        <v>1293.77</v>
      </c>
      <c r="P136" s="46">
        <f t="shared" si="43"/>
        <v>0</v>
      </c>
      <c r="Q136" s="46">
        <f t="shared" si="44"/>
        <v>0</v>
      </c>
      <c r="R136" s="47">
        <f t="shared" si="45"/>
        <v>0.4</v>
      </c>
      <c r="S136" s="47">
        <f t="shared" si="33"/>
        <v>0</v>
      </c>
      <c r="T136" s="46">
        <f t="shared" si="34"/>
        <v>0</v>
      </c>
      <c r="U136" s="46">
        <f t="shared" si="46"/>
        <v>0</v>
      </c>
      <c r="V136">
        <v>157</v>
      </c>
      <c r="W136" s="46">
        <f t="shared" si="47"/>
        <v>39.25</v>
      </c>
      <c r="X136" s="22">
        <f t="shared" si="48"/>
        <v>257.10000000000002</v>
      </c>
      <c r="Y136" s="10">
        <f t="shared" si="49"/>
        <v>2452.63</v>
      </c>
      <c r="Z136" s="72">
        <v>2824212526</v>
      </c>
      <c r="AA136" s="71">
        <v>17468</v>
      </c>
      <c r="AB136" s="22">
        <f t="shared" si="35"/>
        <v>161679.21</v>
      </c>
      <c r="AC136" s="9">
        <f t="shared" si="36"/>
        <v>0.58681300000000003</v>
      </c>
      <c r="AD136" s="71">
        <v>81920</v>
      </c>
      <c r="AE136" s="9">
        <f t="shared" si="37"/>
        <v>0.56360299999999997</v>
      </c>
      <c r="AF136" s="9">
        <f t="shared" si="56"/>
        <v>0.42015000000000002</v>
      </c>
      <c r="AG136" s="49">
        <f t="shared" si="38"/>
        <v>0.42015000000000002</v>
      </c>
      <c r="AH136" s="50">
        <f t="shared" si="39"/>
        <v>0</v>
      </c>
      <c r="AI136" s="51">
        <f t="shared" si="50"/>
        <v>0.42015000000000002</v>
      </c>
      <c r="AJ136">
        <v>0</v>
      </c>
      <c r="AK136">
        <v>0</v>
      </c>
      <c r="AL136" s="21">
        <f t="shared" si="51"/>
        <v>0</v>
      </c>
      <c r="AM136">
        <v>0</v>
      </c>
      <c r="AN136">
        <v>0</v>
      </c>
      <c r="AO136" s="21">
        <f t="shared" si="52"/>
        <v>0</v>
      </c>
      <c r="AP136" s="21">
        <f t="shared" si="40"/>
        <v>11876195</v>
      </c>
      <c r="AQ136" s="21">
        <f t="shared" si="53"/>
        <v>11876195</v>
      </c>
      <c r="AR136" s="48">
        <v>10272197</v>
      </c>
      <c r="AS136" s="48">
        <f t="shared" si="57"/>
        <v>11876195</v>
      </c>
      <c r="AT136" s="71">
        <v>12740359</v>
      </c>
      <c r="AU136" s="21">
        <f t="shared" si="58"/>
        <v>864164</v>
      </c>
      <c r="AV136" s="52" t="str">
        <f t="shared" si="60"/>
        <v>No</v>
      </c>
      <c r="AW136" s="48">
        <f t="shared" si="54"/>
        <v>0</v>
      </c>
      <c r="AX136" s="53">
        <f t="shared" si="55"/>
        <v>12740359</v>
      </c>
      <c r="AY136" s="54">
        <f t="shared" si="59"/>
        <v>12740359</v>
      </c>
      <c r="AZ136" s="55"/>
      <c r="BA136" s="55"/>
      <c r="BB136" s="55"/>
      <c r="BC136" s="55"/>
      <c r="BD136" s="55"/>
    </row>
    <row r="137" spans="1:56" x14ac:dyDescent="0.5">
      <c r="A137" s="5" t="s">
        <v>99</v>
      </c>
      <c r="B137" s="5"/>
      <c r="C137" s="33"/>
      <c r="D137" s="33"/>
      <c r="E137" s="33"/>
      <c r="F137" s="2">
        <v>8</v>
      </c>
      <c r="G137">
        <v>17</v>
      </c>
      <c r="H137" s="5">
        <v>111</v>
      </c>
      <c r="I137" s="2" t="s">
        <v>190</v>
      </c>
      <c r="J137" s="45"/>
      <c r="K137">
        <v>1345.07</v>
      </c>
      <c r="L137"/>
      <c r="M137">
        <v>618</v>
      </c>
      <c r="N137" s="46">
        <f t="shared" si="41"/>
        <v>185.4</v>
      </c>
      <c r="O137" s="46">
        <f t="shared" si="42"/>
        <v>807.04</v>
      </c>
      <c r="P137" s="46">
        <f t="shared" si="43"/>
        <v>0</v>
      </c>
      <c r="Q137" s="46">
        <f t="shared" si="44"/>
        <v>0</v>
      </c>
      <c r="R137" s="47">
        <f t="shared" si="45"/>
        <v>0.46</v>
      </c>
      <c r="S137" s="47">
        <f t="shared" si="33"/>
        <v>0</v>
      </c>
      <c r="T137" s="46">
        <f t="shared" si="34"/>
        <v>0</v>
      </c>
      <c r="U137" s="46">
        <f t="shared" si="46"/>
        <v>0</v>
      </c>
      <c r="V137">
        <v>46</v>
      </c>
      <c r="W137" s="46">
        <f t="shared" si="47"/>
        <v>11.5</v>
      </c>
      <c r="X137" s="22">
        <f t="shared" si="48"/>
        <v>185.4</v>
      </c>
      <c r="Y137" s="10">
        <f t="shared" si="49"/>
        <v>1541.97</v>
      </c>
      <c r="Z137" s="72">
        <v>1576783773.3299999</v>
      </c>
      <c r="AA137" s="71">
        <v>11715</v>
      </c>
      <c r="AB137" s="22">
        <f t="shared" si="35"/>
        <v>134595.29</v>
      </c>
      <c r="AC137" s="9">
        <f t="shared" si="36"/>
        <v>0.488512</v>
      </c>
      <c r="AD137" s="71">
        <v>99797</v>
      </c>
      <c r="AE137" s="9">
        <f t="shared" si="37"/>
        <v>0.68659599999999998</v>
      </c>
      <c r="AF137" s="9">
        <f t="shared" si="56"/>
        <v>0.45206299999999999</v>
      </c>
      <c r="AG137" s="49">
        <f t="shared" si="38"/>
        <v>0.45206299999999999</v>
      </c>
      <c r="AH137" s="50">
        <f t="shared" si="39"/>
        <v>0.03</v>
      </c>
      <c r="AI137" s="51">
        <f t="shared" si="50"/>
        <v>0.48206300000000002</v>
      </c>
      <c r="AJ137">
        <v>0</v>
      </c>
      <c r="AK137">
        <v>0</v>
      </c>
      <c r="AL137" s="21">
        <f t="shared" si="51"/>
        <v>0</v>
      </c>
      <c r="AM137">
        <v>0</v>
      </c>
      <c r="AN137">
        <v>0</v>
      </c>
      <c r="AO137" s="21">
        <f t="shared" si="52"/>
        <v>0</v>
      </c>
      <c r="AP137" s="21">
        <f t="shared" si="40"/>
        <v>8566840</v>
      </c>
      <c r="AQ137" s="21">
        <f t="shared" si="53"/>
        <v>8566840</v>
      </c>
      <c r="AR137" s="48">
        <v>9761632</v>
      </c>
      <c r="AS137" s="48">
        <f t="shared" si="57"/>
        <v>8566840</v>
      </c>
      <c r="AT137" s="71">
        <v>9802121</v>
      </c>
      <c r="AU137" s="21">
        <f t="shared" si="58"/>
        <v>1235281</v>
      </c>
      <c r="AV137" s="52" t="str">
        <f t="shared" si="60"/>
        <v>No</v>
      </c>
      <c r="AW137" s="48">
        <f t="shared" si="54"/>
        <v>0</v>
      </c>
      <c r="AX137" s="53">
        <f t="shared" si="55"/>
        <v>9802121</v>
      </c>
      <c r="AY137" s="54">
        <f t="shared" si="59"/>
        <v>9802121</v>
      </c>
      <c r="AZ137" s="55"/>
      <c r="BA137" s="55"/>
      <c r="BB137" s="55"/>
      <c r="BC137" s="55"/>
      <c r="BD137" s="55"/>
    </row>
    <row r="138" spans="1:56" x14ac:dyDescent="0.5">
      <c r="A138" s="5" t="s">
        <v>71</v>
      </c>
      <c r="B138" s="5"/>
      <c r="C138" s="33"/>
      <c r="D138" s="33"/>
      <c r="E138" s="33"/>
      <c r="F138" s="2">
        <v>8</v>
      </c>
      <c r="G138">
        <v>0</v>
      </c>
      <c r="H138" s="5">
        <v>112</v>
      </c>
      <c r="I138" s="2" t="s">
        <v>191</v>
      </c>
      <c r="J138" s="45"/>
      <c r="K138">
        <v>500.38</v>
      </c>
      <c r="L138"/>
      <c r="M138">
        <v>99</v>
      </c>
      <c r="N138" s="46">
        <f t="shared" si="41"/>
        <v>29.7</v>
      </c>
      <c r="O138" s="46">
        <f t="shared" si="42"/>
        <v>300.23</v>
      </c>
      <c r="P138" s="46">
        <f t="shared" si="43"/>
        <v>0</v>
      </c>
      <c r="Q138" s="46">
        <f t="shared" si="44"/>
        <v>0</v>
      </c>
      <c r="R138" s="47">
        <f t="shared" si="45"/>
        <v>0.2</v>
      </c>
      <c r="S138" s="47">
        <f t="shared" si="33"/>
        <v>0</v>
      </c>
      <c r="T138" s="46">
        <f t="shared" si="34"/>
        <v>0</v>
      </c>
      <c r="U138" s="46">
        <f t="shared" si="46"/>
        <v>0</v>
      </c>
      <c r="V138">
        <v>8</v>
      </c>
      <c r="W138" s="46">
        <f t="shared" si="47"/>
        <v>2</v>
      </c>
      <c r="X138" s="22">
        <f t="shared" si="48"/>
        <v>29.7</v>
      </c>
      <c r="Y138" s="10">
        <f t="shared" si="49"/>
        <v>532.08000000000004</v>
      </c>
      <c r="Z138" s="72">
        <v>862614660</v>
      </c>
      <c r="AA138" s="71">
        <v>4294</v>
      </c>
      <c r="AB138" s="22">
        <f t="shared" si="35"/>
        <v>200888.37</v>
      </c>
      <c r="AC138" s="9">
        <f t="shared" si="36"/>
        <v>0.72912200000000005</v>
      </c>
      <c r="AD138" s="71">
        <v>105642</v>
      </c>
      <c r="AE138" s="9">
        <f t="shared" si="37"/>
        <v>0.72680900000000004</v>
      </c>
      <c r="AF138" s="9">
        <f t="shared" si="56"/>
        <v>0.27157199999999998</v>
      </c>
      <c r="AG138" s="49">
        <f t="shared" si="38"/>
        <v>0.27157199999999998</v>
      </c>
      <c r="AH138" s="50">
        <f t="shared" si="39"/>
        <v>0</v>
      </c>
      <c r="AI138" s="51">
        <f t="shared" si="50"/>
        <v>0.27157199999999998</v>
      </c>
      <c r="AJ138">
        <v>0</v>
      </c>
      <c r="AK138">
        <v>0</v>
      </c>
      <c r="AL138" s="21">
        <f t="shared" si="51"/>
        <v>0</v>
      </c>
      <c r="AM138">
        <v>146</v>
      </c>
      <c r="AN138">
        <v>4</v>
      </c>
      <c r="AO138" s="21">
        <f t="shared" si="52"/>
        <v>58400</v>
      </c>
      <c r="AP138" s="21">
        <f t="shared" si="40"/>
        <v>1665340</v>
      </c>
      <c r="AQ138" s="21">
        <f t="shared" si="53"/>
        <v>1723740</v>
      </c>
      <c r="AR138" s="48">
        <v>3073015</v>
      </c>
      <c r="AS138" s="48">
        <f t="shared" si="57"/>
        <v>1723740</v>
      </c>
      <c r="AT138" s="71">
        <v>2670987</v>
      </c>
      <c r="AU138" s="21">
        <f t="shared" si="58"/>
        <v>947247</v>
      </c>
      <c r="AV138" s="52" t="str">
        <f t="shared" si="60"/>
        <v>No</v>
      </c>
      <c r="AW138" s="48">
        <f t="shared" si="54"/>
        <v>0</v>
      </c>
      <c r="AX138" s="53">
        <f t="shared" si="55"/>
        <v>2670987</v>
      </c>
      <c r="AY138" s="54">
        <f t="shared" si="59"/>
        <v>2670987</v>
      </c>
      <c r="AZ138" s="55"/>
      <c r="BA138" s="55"/>
      <c r="BB138" s="55"/>
      <c r="BC138" s="55"/>
      <c r="BD138" s="55"/>
    </row>
    <row r="139" spans="1:56" x14ac:dyDescent="0.5">
      <c r="A139" s="5" t="s">
        <v>75</v>
      </c>
      <c r="B139" s="5"/>
      <c r="C139" s="33"/>
      <c r="D139" s="33"/>
      <c r="E139" s="33"/>
      <c r="F139" s="2">
        <v>6</v>
      </c>
      <c r="G139">
        <v>40</v>
      </c>
      <c r="H139" s="5">
        <v>113</v>
      </c>
      <c r="I139" s="2" t="s">
        <v>192</v>
      </c>
      <c r="J139" s="45"/>
      <c r="K139">
        <v>1238.29</v>
      </c>
      <c r="L139"/>
      <c r="M139">
        <v>348</v>
      </c>
      <c r="N139" s="46">
        <f t="shared" si="41"/>
        <v>104.4</v>
      </c>
      <c r="O139" s="46">
        <f t="shared" si="42"/>
        <v>742.97</v>
      </c>
      <c r="P139" s="46">
        <f t="shared" si="43"/>
        <v>0</v>
      </c>
      <c r="Q139" s="46">
        <f t="shared" si="44"/>
        <v>0</v>
      </c>
      <c r="R139" s="47">
        <f t="shared" si="45"/>
        <v>0.28000000000000003</v>
      </c>
      <c r="S139" s="47">
        <f t="shared" si="33"/>
        <v>0</v>
      </c>
      <c r="T139" s="46">
        <f t="shared" si="34"/>
        <v>0</v>
      </c>
      <c r="U139" s="46">
        <f t="shared" si="46"/>
        <v>0</v>
      </c>
      <c r="V139">
        <v>36</v>
      </c>
      <c r="W139" s="46">
        <f t="shared" si="47"/>
        <v>9</v>
      </c>
      <c r="X139" s="22">
        <f t="shared" si="48"/>
        <v>104.4</v>
      </c>
      <c r="Y139" s="10">
        <f t="shared" si="49"/>
        <v>1351.69</v>
      </c>
      <c r="Z139" s="72">
        <v>1643148434</v>
      </c>
      <c r="AA139" s="71">
        <v>9421</v>
      </c>
      <c r="AB139" s="22">
        <f t="shared" si="35"/>
        <v>174413.38</v>
      </c>
      <c r="AC139" s="9">
        <f t="shared" si="36"/>
        <v>0.63303100000000001</v>
      </c>
      <c r="AD139" s="71">
        <v>118955</v>
      </c>
      <c r="AE139" s="9">
        <f t="shared" si="37"/>
        <v>0.81840100000000005</v>
      </c>
      <c r="AF139" s="9">
        <f t="shared" si="56"/>
        <v>0.31135800000000002</v>
      </c>
      <c r="AG139" s="49">
        <f t="shared" si="38"/>
        <v>0.31135800000000002</v>
      </c>
      <c r="AH139" s="50">
        <f t="shared" si="39"/>
        <v>0</v>
      </c>
      <c r="AI139" s="51">
        <f t="shared" si="50"/>
        <v>0.31135800000000002</v>
      </c>
      <c r="AJ139">
        <v>0</v>
      </c>
      <c r="AK139">
        <v>0</v>
      </c>
      <c r="AL139" s="21">
        <f t="shared" si="51"/>
        <v>0</v>
      </c>
      <c r="AM139">
        <v>0</v>
      </c>
      <c r="AN139">
        <v>0</v>
      </c>
      <c r="AO139" s="21">
        <f t="shared" si="52"/>
        <v>0</v>
      </c>
      <c r="AP139" s="21">
        <f t="shared" si="40"/>
        <v>4850406</v>
      </c>
      <c r="AQ139" s="21">
        <f t="shared" si="53"/>
        <v>4850406</v>
      </c>
      <c r="AR139" s="48">
        <v>4363751</v>
      </c>
      <c r="AS139" s="48">
        <f t="shared" si="57"/>
        <v>4850406</v>
      </c>
      <c r="AT139" s="71">
        <v>4979837</v>
      </c>
      <c r="AU139" s="21">
        <f t="shared" si="58"/>
        <v>129431</v>
      </c>
      <c r="AV139" s="52" t="str">
        <f t="shared" si="60"/>
        <v>No</v>
      </c>
      <c r="AW139" s="48">
        <f t="shared" si="54"/>
        <v>0</v>
      </c>
      <c r="AX139" s="53">
        <f t="shared" si="55"/>
        <v>4979837</v>
      </c>
      <c r="AY139" s="54">
        <f t="shared" si="59"/>
        <v>4979837</v>
      </c>
      <c r="AZ139" s="55"/>
      <c r="BA139" s="55"/>
      <c r="BB139" s="55"/>
      <c r="BC139" s="55"/>
      <c r="BD139" s="55"/>
    </row>
    <row r="140" spans="1:56" x14ac:dyDescent="0.5">
      <c r="A140" s="5" t="s">
        <v>75</v>
      </c>
      <c r="B140" s="5"/>
      <c r="C140" s="33"/>
      <c r="D140" s="33"/>
      <c r="E140" s="33"/>
      <c r="F140" s="2">
        <v>7</v>
      </c>
      <c r="G140">
        <v>0</v>
      </c>
      <c r="H140" s="5">
        <v>114</v>
      </c>
      <c r="I140" s="2" t="s">
        <v>193</v>
      </c>
      <c r="J140" s="45"/>
      <c r="K140">
        <v>589.16</v>
      </c>
      <c r="L140"/>
      <c r="M140">
        <v>180</v>
      </c>
      <c r="N140" s="46">
        <f t="shared" si="41"/>
        <v>54</v>
      </c>
      <c r="O140" s="46">
        <f t="shared" si="42"/>
        <v>353.5</v>
      </c>
      <c r="P140" s="46">
        <f t="shared" si="43"/>
        <v>0</v>
      </c>
      <c r="Q140" s="46">
        <f t="shared" si="44"/>
        <v>0</v>
      </c>
      <c r="R140" s="47">
        <f t="shared" si="45"/>
        <v>0.31</v>
      </c>
      <c r="S140" s="47">
        <f t="shared" si="33"/>
        <v>0</v>
      </c>
      <c r="T140" s="46">
        <f t="shared" si="34"/>
        <v>0</v>
      </c>
      <c r="U140" s="46">
        <f t="shared" si="46"/>
        <v>0</v>
      </c>
      <c r="V140">
        <v>6</v>
      </c>
      <c r="W140" s="46">
        <f t="shared" si="47"/>
        <v>1.5</v>
      </c>
      <c r="X140" s="22">
        <f t="shared" si="48"/>
        <v>54</v>
      </c>
      <c r="Y140" s="10">
        <f t="shared" si="49"/>
        <v>644.66</v>
      </c>
      <c r="Z140" s="72">
        <v>957559094.66999996</v>
      </c>
      <c r="AA140" s="71">
        <v>4812</v>
      </c>
      <c r="AB140" s="22">
        <f t="shared" si="35"/>
        <v>198993.99</v>
      </c>
      <c r="AC140" s="9">
        <f t="shared" si="36"/>
        <v>0.72224699999999997</v>
      </c>
      <c r="AD140" s="71">
        <v>109375</v>
      </c>
      <c r="AE140" s="9">
        <f t="shared" si="37"/>
        <v>0.75249200000000005</v>
      </c>
      <c r="AF140" s="9">
        <f t="shared" si="56"/>
        <v>0.26867999999999997</v>
      </c>
      <c r="AG140" s="49">
        <f t="shared" si="38"/>
        <v>0.26867999999999997</v>
      </c>
      <c r="AH140" s="50">
        <f t="shared" si="39"/>
        <v>0</v>
      </c>
      <c r="AI140" s="51">
        <f t="shared" si="50"/>
        <v>0.26867999999999997</v>
      </c>
      <c r="AJ140">
        <v>0</v>
      </c>
      <c r="AK140">
        <v>0</v>
      </c>
      <c r="AL140" s="21">
        <f t="shared" si="51"/>
        <v>0</v>
      </c>
      <c r="AM140">
        <v>90</v>
      </c>
      <c r="AN140">
        <v>4</v>
      </c>
      <c r="AO140" s="21">
        <f t="shared" si="52"/>
        <v>36000</v>
      </c>
      <c r="AP140" s="21">
        <f t="shared" si="40"/>
        <v>1996214</v>
      </c>
      <c r="AQ140" s="21">
        <f t="shared" si="53"/>
        <v>2032214</v>
      </c>
      <c r="AR140" s="48">
        <v>3012017</v>
      </c>
      <c r="AS140" s="48">
        <f t="shared" si="57"/>
        <v>2032214</v>
      </c>
      <c r="AT140" s="71">
        <v>2952496</v>
      </c>
      <c r="AU140" s="21">
        <f t="shared" si="58"/>
        <v>920282</v>
      </c>
      <c r="AV140" s="52" t="str">
        <f t="shared" si="60"/>
        <v>No</v>
      </c>
      <c r="AW140" s="48">
        <f t="shared" si="54"/>
        <v>0</v>
      </c>
      <c r="AX140" s="53">
        <f t="shared" si="55"/>
        <v>2952496</v>
      </c>
      <c r="AY140" s="54">
        <f t="shared" si="59"/>
        <v>2952496</v>
      </c>
      <c r="AZ140" s="55"/>
      <c r="BA140" s="55"/>
      <c r="BB140" s="55"/>
      <c r="BC140" s="55"/>
      <c r="BD140" s="55"/>
    </row>
    <row r="141" spans="1:56" x14ac:dyDescent="0.5">
      <c r="A141" s="5" t="s">
        <v>75</v>
      </c>
      <c r="B141" s="5"/>
      <c r="C141" s="33"/>
      <c r="D141" s="33"/>
      <c r="E141" s="33"/>
      <c r="F141" s="2">
        <v>6</v>
      </c>
      <c r="G141">
        <v>0</v>
      </c>
      <c r="H141" s="5">
        <v>115</v>
      </c>
      <c r="I141" s="2" t="s">
        <v>194</v>
      </c>
      <c r="J141" s="45"/>
      <c r="K141">
        <v>1262.6199999999999</v>
      </c>
      <c r="L141"/>
      <c r="M141">
        <v>265</v>
      </c>
      <c r="N141" s="46">
        <f t="shared" si="41"/>
        <v>79.5</v>
      </c>
      <c r="O141" s="46">
        <f t="shared" si="42"/>
        <v>757.57</v>
      </c>
      <c r="P141" s="46">
        <f t="shared" si="43"/>
        <v>0</v>
      </c>
      <c r="Q141" s="46">
        <f t="shared" si="44"/>
        <v>0</v>
      </c>
      <c r="R141" s="47">
        <f t="shared" si="45"/>
        <v>0.21</v>
      </c>
      <c r="S141" s="47">
        <f t="shared" si="33"/>
        <v>0</v>
      </c>
      <c r="T141" s="46">
        <f t="shared" si="34"/>
        <v>0</v>
      </c>
      <c r="U141" s="46">
        <f t="shared" si="46"/>
        <v>0</v>
      </c>
      <c r="V141">
        <v>24</v>
      </c>
      <c r="W141" s="46">
        <f t="shared" si="47"/>
        <v>6</v>
      </c>
      <c r="X141" s="22">
        <f t="shared" si="48"/>
        <v>79.5</v>
      </c>
      <c r="Y141" s="10">
        <f t="shared" si="49"/>
        <v>1348.12</v>
      </c>
      <c r="Z141" s="72">
        <v>1845279343.3299999</v>
      </c>
      <c r="AA141" s="71">
        <v>9414</v>
      </c>
      <c r="AB141" s="22">
        <f t="shared" si="35"/>
        <v>196014.38</v>
      </c>
      <c r="AC141" s="9">
        <f t="shared" si="36"/>
        <v>0.71143199999999995</v>
      </c>
      <c r="AD141" s="71">
        <v>125556</v>
      </c>
      <c r="AE141" s="9">
        <f t="shared" si="37"/>
        <v>0.86381600000000003</v>
      </c>
      <c r="AF141" s="9">
        <f t="shared" si="56"/>
        <v>0.24285300000000001</v>
      </c>
      <c r="AG141" s="49">
        <f t="shared" si="38"/>
        <v>0.24285300000000001</v>
      </c>
      <c r="AH141" s="50">
        <f t="shared" si="39"/>
        <v>0</v>
      </c>
      <c r="AI141" s="51">
        <f t="shared" si="50"/>
        <v>0.24285300000000001</v>
      </c>
      <c r="AJ141">
        <v>1266</v>
      </c>
      <c r="AK141">
        <v>13</v>
      </c>
      <c r="AL141" s="21">
        <f t="shared" si="51"/>
        <v>1645800</v>
      </c>
      <c r="AM141">
        <v>0</v>
      </c>
      <c r="AN141">
        <v>0</v>
      </c>
      <c r="AO141" s="21">
        <f t="shared" si="52"/>
        <v>0</v>
      </c>
      <c r="AP141" s="21">
        <f t="shared" si="40"/>
        <v>3773227</v>
      </c>
      <c r="AQ141" s="21">
        <f t="shared" si="53"/>
        <v>5419027</v>
      </c>
      <c r="AR141" s="48">
        <v>5297609</v>
      </c>
      <c r="AS141" s="48">
        <f t="shared" si="57"/>
        <v>5419027</v>
      </c>
      <c r="AT141" s="71">
        <v>5836389</v>
      </c>
      <c r="AU141" s="21">
        <f t="shared" si="58"/>
        <v>417362</v>
      </c>
      <c r="AV141" s="52" t="str">
        <f t="shared" si="60"/>
        <v>No</v>
      </c>
      <c r="AW141" s="48">
        <f t="shared" si="54"/>
        <v>0</v>
      </c>
      <c r="AX141" s="53">
        <f t="shared" si="55"/>
        <v>5836389</v>
      </c>
      <c r="AY141" s="54">
        <f t="shared" si="59"/>
        <v>5836389</v>
      </c>
      <c r="AZ141" s="55"/>
      <c r="BA141" s="55"/>
      <c r="BB141" s="55"/>
      <c r="BC141" s="55"/>
      <c r="BD141" s="55"/>
    </row>
    <row r="142" spans="1:56" x14ac:dyDescent="0.5">
      <c r="A142" s="5" t="s">
        <v>86</v>
      </c>
      <c r="B142" s="56"/>
      <c r="C142" s="33">
        <v>1</v>
      </c>
      <c r="D142" s="33">
        <v>1</v>
      </c>
      <c r="E142" s="33"/>
      <c r="F142" s="2">
        <v>10</v>
      </c>
      <c r="G142">
        <v>23</v>
      </c>
      <c r="H142" s="5">
        <v>116</v>
      </c>
      <c r="I142" s="2" t="s">
        <v>195</v>
      </c>
      <c r="J142" s="45"/>
      <c r="K142">
        <v>1112.3599999999999</v>
      </c>
      <c r="L142"/>
      <c r="M142">
        <v>606</v>
      </c>
      <c r="N142" s="46">
        <f t="shared" si="41"/>
        <v>181.8</v>
      </c>
      <c r="O142" s="46">
        <f t="shared" si="42"/>
        <v>667.42</v>
      </c>
      <c r="P142" s="46">
        <f t="shared" si="43"/>
        <v>0</v>
      </c>
      <c r="Q142" s="46">
        <f t="shared" si="44"/>
        <v>0</v>
      </c>
      <c r="R142" s="47">
        <f t="shared" si="45"/>
        <v>0.54</v>
      </c>
      <c r="S142" s="47">
        <f t="shared" si="33"/>
        <v>0</v>
      </c>
      <c r="T142" s="46">
        <f t="shared" si="34"/>
        <v>0</v>
      </c>
      <c r="U142" s="46">
        <f t="shared" si="46"/>
        <v>0</v>
      </c>
      <c r="V142">
        <v>53</v>
      </c>
      <c r="W142" s="46">
        <f t="shared" si="47"/>
        <v>13.25</v>
      </c>
      <c r="X142" s="22">
        <f t="shared" si="48"/>
        <v>181.8</v>
      </c>
      <c r="Y142" s="10">
        <f t="shared" si="49"/>
        <v>1307.4099999999999</v>
      </c>
      <c r="Z142" s="72">
        <v>1560255373.3299999</v>
      </c>
      <c r="AA142" s="71">
        <v>9256</v>
      </c>
      <c r="AB142" s="22">
        <f t="shared" si="35"/>
        <v>168566.92</v>
      </c>
      <c r="AC142" s="9">
        <f t="shared" si="36"/>
        <v>0.61181200000000002</v>
      </c>
      <c r="AD142" s="71">
        <v>67416</v>
      </c>
      <c r="AE142" s="9">
        <f t="shared" si="37"/>
        <v>0.46381699999999998</v>
      </c>
      <c r="AF142" s="9">
        <f t="shared" si="56"/>
        <v>0.432587</v>
      </c>
      <c r="AG142" s="49">
        <f t="shared" si="38"/>
        <v>0.432587</v>
      </c>
      <c r="AH142" s="50">
        <f t="shared" si="39"/>
        <v>0</v>
      </c>
      <c r="AI142" s="51">
        <f t="shared" si="50"/>
        <v>0.432587</v>
      </c>
      <c r="AJ142">
        <v>0</v>
      </c>
      <c r="AK142">
        <v>0</v>
      </c>
      <c r="AL142" s="21">
        <f t="shared" si="51"/>
        <v>0</v>
      </c>
      <c r="AM142">
        <v>0</v>
      </c>
      <c r="AN142">
        <v>0</v>
      </c>
      <c r="AO142" s="21">
        <f t="shared" si="52"/>
        <v>0</v>
      </c>
      <c r="AP142" s="21">
        <f t="shared" si="40"/>
        <v>6518178</v>
      </c>
      <c r="AQ142" s="21">
        <f t="shared" si="53"/>
        <v>6518178</v>
      </c>
      <c r="AR142" s="48">
        <v>8340282</v>
      </c>
      <c r="AS142" s="48">
        <f t="shared" si="57"/>
        <v>8340282</v>
      </c>
      <c r="AT142" s="71">
        <v>8340282</v>
      </c>
      <c r="AU142" s="21">
        <f t="shared" si="58"/>
        <v>1822104</v>
      </c>
      <c r="AV142" s="52" t="str">
        <f t="shared" si="60"/>
        <v>No</v>
      </c>
      <c r="AW142" s="48">
        <f t="shared" si="54"/>
        <v>0</v>
      </c>
      <c r="AX142" s="53">
        <f t="shared" si="55"/>
        <v>8340282</v>
      </c>
      <c r="AY142" s="54">
        <f t="shared" si="59"/>
        <v>8340282</v>
      </c>
      <c r="AZ142" s="55"/>
      <c r="BA142" s="55"/>
      <c r="BB142" s="55"/>
      <c r="BC142" s="55"/>
      <c r="BD142" s="55"/>
    </row>
    <row r="143" spans="1:56" x14ac:dyDescent="0.5">
      <c r="A143" s="5" t="s">
        <v>113</v>
      </c>
      <c r="B143" s="5"/>
      <c r="C143" s="33"/>
      <c r="D143" s="33"/>
      <c r="E143" s="33"/>
      <c r="F143" s="2">
        <v>1</v>
      </c>
      <c r="G143">
        <v>0</v>
      </c>
      <c r="H143" s="5">
        <v>117</v>
      </c>
      <c r="I143" s="2" t="s">
        <v>196</v>
      </c>
      <c r="J143" s="45"/>
      <c r="K143">
        <v>1196.25</v>
      </c>
      <c r="L143"/>
      <c r="M143">
        <v>110</v>
      </c>
      <c r="N143" s="46">
        <f t="shared" si="41"/>
        <v>33</v>
      </c>
      <c r="O143" s="46">
        <f t="shared" si="42"/>
        <v>717.75</v>
      </c>
      <c r="P143" s="46">
        <f t="shared" si="43"/>
        <v>0</v>
      </c>
      <c r="Q143" s="46">
        <f t="shared" si="44"/>
        <v>0</v>
      </c>
      <c r="R143" s="47">
        <f t="shared" si="45"/>
        <v>0.09</v>
      </c>
      <c r="S143" s="47">
        <f t="shared" si="33"/>
        <v>0</v>
      </c>
      <c r="T143" s="46">
        <f t="shared" si="34"/>
        <v>0</v>
      </c>
      <c r="U143" s="46">
        <f t="shared" si="46"/>
        <v>0</v>
      </c>
      <c r="V143">
        <v>22</v>
      </c>
      <c r="W143" s="46">
        <f t="shared" si="47"/>
        <v>5.5</v>
      </c>
      <c r="X143" s="22">
        <f t="shared" si="48"/>
        <v>33</v>
      </c>
      <c r="Y143" s="10">
        <f t="shared" si="49"/>
        <v>1234.75</v>
      </c>
      <c r="Z143" s="72">
        <v>3059158420.3299999</v>
      </c>
      <c r="AA143" s="71">
        <v>8756</v>
      </c>
      <c r="AB143" s="22">
        <f t="shared" si="35"/>
        <v>349378.53</v>
      </c>
      <c r="AC143" s="9">
        <f t="shared" si="36"/>
        <v>1.2680659999999999</v>
      </c>
      <c r="AD143" s="71">
        <v>176719</v>
      </c>
      <c r="AE143" s="9">
        <f t="shared" si="37"/>
        <v>1.215813</v>
      </c>
      <c r="AF143" s="9">
        <f t="shared" si="56"/>
        <v>-0.25239</v>
      </c>
      <c r="AG143" s="49">
        <f t="shared" si="38"/>
        <v>0.01</v>
      </c>
      <c r="AH143" s="50">
        <f t="shared" si="39"/>
        <v>0</v>
      </c>
      <c r="AI143" s="51">
        <f t="shared" si="50"/>
        <v>0.01</v>
      </c>
      <c r="AJ143">
        <v>356</v>
      </c>
      <c r="AK143">
        <v>4</v>
      </c>
      <c r="AL143" s="21">
        <f t="shared" si="51"/>
        <v>142400</v>
      </c>
      <c r="AM143">
        <v>0</v>
      </c>
      <c r="AN143">
        <v>0</v>
      </c>
      <c r="AO143" s="21">
        <f t="shared" si="52"/>
        <v>0</v>
      </c>
      <c r="AP143" s="21">
        <f t="shared" si="40"/>
        <v>142305</v>
      </c>
      <c r="AQ143" s="21">
        <f t="shared" si="53"/>
        <v>284705</v>
      </c>
      <c r="AR143" s="48">
        <v>180135</v>
      </c>
      <c r="AS143" s="48">
        <f t="shared" si="57"/>
        <v>284705</v>
      </c>
      <c r="AT143" s="71">
        <v>280477</v>
      </c>
      <c r="AU143" s="21">
        <f t="shared" si="58"/>
        <v>4228</v>
      </c>
      <c r="AV143" s="52" t="str">
        <f t="shared" si="60"/>
        <v>Yes</v>
      </c>
      <c r="AW143" s="48">
        <f t="shared" si="54"/>
        <v>4228</v>
      </c>
      <c r="AX143" s="53">
        <f t="shared" si="55"/>
        <v>284705</v>
      </c>
      <c r="AY143" s="54">
        <f t="shared" si="59"/>
        <v>284705</v>
      </c>
      <c r="AZ143" s="55"/>
      <c r="BA143" s="55"/>
      <c r="BB143" s="55"/>
      <c r="BC143" s="55"/>
      <c r="BD143" s="55"/>
    </row>
    <row r="144" spans="1:56" x14ac:dyDescent="0.5">
      <c r="A144" s="5" t="s">
        <v>113</v>
      </c>
      <c r="B144" s="5"/>
      <c r="C144" s="33"/>
      <c r="D144" s="33"/>
      <c r="E144" s="33"/>
      <c r="F144" s="2">
        <v>1</v>
      </c>
      <c r="G144">
        <v>0</v>
      </c>
      <c r="H144" s="5">
        <v>118</v>
      </c>
      <c r="I144" s="2" t="s">
        <v>197</v>
      </c>
      <c r="J144" s="45"/>
      <c r="K144">
        <v>4376.33</v>
      </c>
      <c r="L144"/>
      <c r="M144">
        <v>328</v>
      </c>
      <c r="N144" s="46">
        <f t="shared" si="41"/>
        <v>98.4</v>
      </c>
      <c r="O144" s="46">
        <f t="shared" si="42"/>
        <v>2625.8</v>
      </c>
      <c r="P144" s="46">
        <f t="shared" si="43"/>
        <v>0</v>
      </c>
      <c r="Q144" s="46">
        <f t="shared" si="44"/>
        <v>0</v>
      </c>
      <c r="R144" s="47">
        <f t="shared" si="45"/>
        <v>7.0000000000000007E-2</v>
      </c>
      <c r="S144" s="47">
        <f t="shared" si="33"/>
        <v>0</v>
      </c>
      <c r="T144" s="46">
        <f t="shared" si="34"/>
        <v>0</v>
      </c>
      <c r="U144" s="46">
        <f t="shared" si="46"/>
        <v>0</v>
      </c>
      <c r="V144">
        <v>84</v>
      </c>
      <c r="W144" s="46">
        <f t="shared" si="47"/>
        <v>21</v>
      </c>
      <c r="X144" s="22">
        <f t="shared" si="48"/>
        <v>98.4</v>
      </c>
      <c r="Y144" s="10">
        <f t="shared" si="49"/>
        <v>4495.7299999999996</v>
      </c>
      <c r="Z144" s="72">
        <v>9151010632.6700001</v>
      </c>
      <c r="AA144" s="71">
        <v>24992</v>
      </c>
      <c r="AB144" s="22">
        <f t="shared" si="35"/>
        <v>366157.6</v>
      </c>
      <c r="AC144" s="9">
        <f t="shared" si="36"/>
        <v>1.328965</v>
      </c>
      <c r="AD144" s="71">
        <v>168810</v>
      </c>
      <c r="AE144" s="9">
        <f t="shared" si="37"/>
        <v>1.1614</v>
      </c>
      <c r="AF144" s="9">
        <f t="shared" si="56"/>
        <v>-0.278696</v>
      </c>
      <c r="AG144" s="49">
        <f t="shared" si="38"/>
        <v>0.01</v>
      </c>
      <c r="AH144" s="50">
        <f t="shared" si="39"/>
        <v>0</v>
      </c>
      <c r="AI144" s="51">
        <f t="shared" si="50"/>
        <v>0.01</v>
      </c>
      <c r="AJ144">
        <v>0</v>
      </c>
      <c r="AK144">
        <v>0</v>
      </c>
      <c r="AL144" s="21">
        <f t="shared" si="51"/>
        <v>0</v>
      </c>
      <c r="AM144">
        <v>0</v>
      </c>
      <c r="AN144">
        <v>0</v>
      </c>
      <c r="AO144" s="21">
        <f t="shared" si="52"/>
        <v>0</v>
      </c>
      <c r="AP144" s="21">
        <f t="shared" si="40"/>
        <v>518133</v>
      </c>
      <c r="AQ144" s="21">
        <f t="shared" si="53"/>
        <v>518133</v>
      </c>
      <c r="AR144" s="48">
        <v>571648</v>
      </c>
      <c r="AS144" s="48">
        <f t="shared" si="57"/>
        <v>518133</v>
      </c>
      <c r="AT144" s="71">
        <v>568700</v>
      </c>
      <c r="AU144" s="21">
        <f t="shared" si="58"/>
        <v>50567</v>
      </c>
      <c r="AV144" s="52" t="str">
        <f t="shared" si="60"/>
        <v>No</v>
      </c>
      <c r="AW144" s="48">
        <f t="shared" si="54"/>
        <v>0</v>
      </c>
      <c r="AX144" s="53">
        <f t="shared" si="55"/>
        <v>568700</v>
      </c>
      <c r="AY144" s="54">
        <f t="shared" si="59"/>
        <v>568700</v>
      </c>
      <c r="AZ144" s="55"/>
      <c r="BA144" s="55"/>
      <c r="BB144" s="55"/>
      <c r="BC144" s="55"/>
      <c r="BD144" s="55"/>
    </row>
    <row r="145" spans="1:56" x14ac:dyDescent="0.5">
      <c r="A145" s="5" t="s">
        <v>81</v>
      </c>
      <c r="B145" s="5"/>
      <c r="C145" s="33"/>
      <c r="D145" s="33"/>
      <c r="E145" s="33"/>
      <c r="F145" s="2">
        <v>6</v>
      </c>
      <c r="G145">
        <v>0</v>
      </c>
      <c r="H145" s="5">
        <v>119</v>
      </c>
      <c r="I145" s="2" t="s">
        <v>198</v>
      </c>
      <c r="J145" s="45"/>
      <c r="K145">
        <v>2666.33</v>
      </c>
      <c r="L145"/>
      <c r="M145">
        <v>597</v>
      </c>
      <c r="N145" s="46">
        <f t="shared" si="41"/>
        <v>179.1</v>
      </c>
      <c r="O145" s="46">
        <f t="shared" si="42"/>
        <v>1599.8</v>
      </c>
      <c r="P145" s="46">
        <f t="shared" si="43"/>
        <v>0</v>
      </c>
      <c r="Q145" s="46">
        <f t="shared" si="44"/>
        <v>0</v>
      </c>
      <c r="R145" s="47">
        <f t="shared" si="45"/>
        <v>0.22</v>
      </c>
      <c r="S145" s="47">
        <f t="shared" si="33"/>
        <v>0</v>
      </c>
      <c r="T145" s="46">
        <f t="shared" si="34"/>
        <v>0</v>
      </c>
      <c r="U145" s="46">
        <f t="shared" si="46"/>
        <v>0</v>
      </c>
      <c r="V145">
        <v>294</v>
      </c>
      <c r="W145" s="46">
        <f t="shared" si="47"/>
        <v>73.5</v>
      </c>
      <c r="X145" s="22">
        <f t="shared" si="48"/>
        <v>179.1</v>
      </c>
      <c r="Y145" s="10">
        <f t="shared" si="49"/>
        <v>2918.93</v>
      </c>
      <c r="Z145" s="72">
        <v>4219695360.6700001</v>
      </c>
      <c r="AA145" s="71">
        <v>20724</v>
      </c>
      <c r="AB145" s="22">
        <f t="shared" si="35"/>
        <v>203613.94</v>
      </c>
      <c r="AC145" s="9">
        <f t="shared" si="36"/>
        <v>0.73901499999999998</v>
      </c>
      <c r="AD145" s="71">
        <v>100061</v>
      </c>
      <c r="AE145" s="9">
        <f t="shared" si="37"/>
        <v>0.68841200000000002</v>
      </c>
      <c r="AF145" s="9">
        <f t="shared" si="56"/>
        <v>0.27616600000000002</v>
      </c>
      <c r="AG145" s="49">
        <f t="shared" si="38"/>
        <v>0.27616600000000002</v>
      </c>
      <c r="AH145" s="50">
        <f t="shared" si="39"/>
        <v>0</v>
      </c>
      <c r="AI145" s="51">
        <f t="shared" si="50"/>
        <v>0.27616600000000002</v>
      </c>
      <c r="AJ145">
        <v>0</v>
      </c>
      <c r="AK145">
        <v>0</v>
      </c>
      <c r="AL145" s="21">
        <f t="shared" si="51"/>
        <v>0</v>
      </c>
      <c r="AM145">
        <v>0</v>
      </c>
      <c r="AN145">
        <v>0</v>
      </c>
      <c r="AO145" s="21">
        <f t="shared" si="52"/>
        <v>0</v>
      </c>
      <c r="AP145" s="21">
        <f t="shared" si="40"/>
        <v>9290409</v>
      </c>
      <c r="AQ145" s="21">
        <f t="shared" si="53"/>
        <v>9290409</v>
      </c>
      <c r="AR145" s="48">
        <v>4250230</v>
      </c>
      <c r="AS145" s="48">
        <f t="shared" si="57"/>
        <v>9290409</v>
      </c>
      <c r="AT145" s="71">
        <v>8574212</v>
      </c>
      <c r="AU145" s="21">
        <f t="shared" si="58"/>
        <v>716197</v>
      </c>
      <c r="AV145" s="52" t="str">
        <f t="shared" si="60"/>
        <v>Yes</v>
      </c>
      <c r="AW145" s="48">
        <f t="shared" si="54"/>
        <v>716197</v>
      </c>
      <c r="AX145" s="53">
        <f t="shared" si="55"/>
        <v>9290409</v>
      </c>
      <c r="AY145" s="54">
        <f t="shared" si="59"/>
        <v>9290409</v>
      </c>
      <c r="AZ145" s="55"/>
      <c r="BA145" s="55"/>
      <c r="BB145" s="55"/>
      <c r="BC145" s="55"/>
      <c r="BD145" s="55"/>
    </row>
    <row r="146" spans="1:56" x14ac:dyDescent="0.5">
      <c r="A146" s="5" t="s">
        <v>71</v>
      </c>
      <c r="B146" s="5"/>
      <c r="C146" s="33"/>
      <c r="D146" s="33"/>
      <c r="E146" s="33"/>
      <c r="F146" s="2">
        <v>1</v>
      </c>
      <c r="G146">
        <v>0</v>
      </c>
      <c r="H146" s="5">
        <v>120</v>
      </c>
      <c r="I146" s="2" t="s">
        <v>199</v>
      </c>
      <c r="J146" s="45"/>
      <c r="K146">
        <v>176.44</v>
      </c>
      <c r="L146"/>
      <c r="M146">
        <v>26</v>
      </c>
      <c r="N146" s="46">
        <f t="shared" si="41"/>
        <v>7.8</v>
      </c>
      <c r="O146" s="46">
        <f t="shared" si="42"/>
        <v>105.86</v>
      </c>
      <c r="P146" s="46">
        <f t="shared" si="43"/>
        <v>0</v>
      </c>
      <c r="Q146" s="46">
        <f t="shared" si="44"/>
        <v>0</v>
      </c>
      <c r="R146" s="47">
        <f t="shared" si="45"/>
        <v>0.15</v>
      </c>
      <c r="S146" s="47">
        <f t="shared" si="33"/>
        <v>0</v>
      </c>
      <c r="T146" s="46">
        <f t="shared" si="34"/>
        <v>0</v>
      </c>
      <c r="U146" s="46">
        <f t="shared" si="46"/>
        <v>0</v>
      </c>
      <c r="V146">
        <v>4</v>
      </c>
      <c r="W146" s="46">
        <f t="shared" si="47"/>
        <v>1</v>
      </c>
      <c r="X146" s="22">
        <f t="shared" si="48"/>
        <v>7.8</v>
      </c>
      <c r="Y146" s="10">
        <f t="shared" si="49"/>
        <v>185.24</v>
      </c>
      <c r="Z146" s="72">
        <v>1351216366.3299999</v>
      </c>
      <c r="AA146" s="71">
        <v>2184</v>
      </c>
      <c r="AB146" s="22">
        <f t="shared" si="35"/>
        <v>618688.81000000006</v>
      </c>
      <c r="AC146" s="9">
        <f t="shared" si="36"/>
        <v>2.2455240000000001</v>
      </c>
      <c r="AD146" s="71">
        <v>120250</v>
      </c>
      <c r="AE146" s="9">
        <f t="shared" si="37"/>
        <v>0.82731100000000002</v>
      </c>
      <c r="AF146" s="9">
        <f t="shared" si="56"/>
        <v>-0.82006000000000001</v>
      </c>
      <c r="AG146" s="49">
        <f t="shared" si="38"/>
        <v>0.01</v>
      </c>
      <c r="AH146" s="50">
        <f t="shared" si="39"/>
        <v>0</v>
      </c>
      <c r="AI146" s="51">
        <f t="shared" si="50"/>
        <v>0.01</v>
      </c>
      <c r="AJ146">
        <v>174</v>
      </c>
      <c r="AK146">
        <v>13</v>
      </c>
      <c r="AL146" s="21">
        <f t="shared" si="51"/>
        <v>226200</v>
      </c>
      <c r="AM146">
        <v>0</v>
      </c>
      <c r="AN146">
        <v>0</v>
      </c>
      <c r="AO146" s="21">
        <f t="shared" si="52"/>
        <v>0</v>
      </c>
      <c r="AP146" s="21">
        <f t="shared" si="40"/>
        <v>21349</v>
      </c>
      <c r="AQ146" s="21">
        <f t="shared" si="53"/>
        <v>247549</v>
      </c>
      <c r="AR146" s="48">
        <v>33612</v>
      </c>
      <c r="AS146" s="48">
        <f t="shared" si="57"/>
        <v>247549</v>
      </c>
      <c r="AT146" s="71">
        <v>219447</v>
      </c>
      <c r="AU146" s="21">
        <f t="shared" si="58"/>
        <v>28102</v>
      </c>
      <c r="AV146" s="52" t="str">
        <f t="shared" si="60"/>
        <v>Yes</v>
      </c>
      <c r="AW146" s="48">
        <f t="shared" si="54"/>
        <v>28102</v>
      </c>
      <c r="AX146" s="53">
        <f t="shared" si="55"/>
        <v>247549</v>
      </c>
      <c r="AY146" s="54">
        <f t="shared" si="59"/>
        <v>247549</v>
      </c>
      <c r="AZ146" s="55"/>
      <c r="BA146" s="55"/>
      <c r="BB146" s="55"/>
      <c r="BC146" s="55"/>
      <c r="BD146" s="55"/>
    </row>
    <row r="147" spans="1:56" x14ac:dyDescent="0.5">
      <c r="A147" s="5" t="s">
        <v>71</v>
      </c>
      <c r="B147" s="5"/>
      <c r="C147" s="33"/>
      <c r="D147" s="33"/>
      <c r="E147" s="33"/>
      <c r="F147" s="2">
        <v>5</v>
      </c>
      <c r="G147">
        <v>0</v>
      </c>
      <c r="H147" s="5">
        <v>121</v>
      </c>
      <c r="I147" s="2" t="s">
        <v>200</v>
      </c>
      <c r="J147" s="45"/>
      <c r="K147">
        <v>566.79999999999995</v>
      </c>
      <c r="L147"/>
      <c r="M147">
        <v>137</v>
      </c>
      <c r="N147" s="46">
        <f t="shared" si="41"/>
        <v>41.1</v>
      </c>
      <c r="O147" s="46">
        <f t="shared" si="42"/>
        <v>340.08</v>
      </c>
      <c r="P147" s="46">
        <f t="shared" si="43"/>
        <v>0</v>
      </c>
      <c r="Q147" s="46">
        <f t="shared" si="44"/>
        <v>0</v>
      </c>
      <c r="R147" s="47">
        <f t="shared" si="45"/>
        <v>0.24</v>
      </c>
      <c r="S147" s="47">
        <f t="shared" si="33"/>
        <v>0</v>
      </c>
      <c r="T147" s="46">
        <f t="shared" si="34"/>
        <v>0</v>
      </c>
      <c r="U147" s="46">
        <f t="shared" si="46"/>
        <v>0</v>
      </c>
      <c r="V147">
        <v>3</v>
      </c>
      <c r="W147" s="46">
        <f t="shared" si="47"/>
        <v>0.75</v>
      </c>
      <c r="X147" s="22">
        <f t="shared" si="48"/>
        <v>41.1</v>
      </c>
      <c r="Y147" s="10">
        <f t="shared" si="49"/>
        <v>608.65</v>
      </c>
      <c r="Z147" s="72">
        <v>779470786.33000004</v>
      </c>
      <c r="AA147" s="71">
        <v>4247</v>
      </c>
      <c r="AB147" s="22">
        <f t="shared" si="35"/>
        <v>183534.44</v>
      </c>
      <c r="AC147" s="9">
        <f t="shared" si="36"/>
        <v>0.66613599999999995</v>
      </c>
      <c r="AD147" s="71">
        <v>118378</v>
      </c>
      <c r="AE147" s="9">
        <f t="shared" si="37"/>
        <v>0.81443200000000004</v>
      </c>
      <c r="AF147" s="9">
        <f t="shared" si="56"/>
        <v>0.28937499999999999</v>
      </c>
      <c r="AG147" s="49">
        <f t="shared" si="38"/>
        <v>0.28937499999999999</v>
      </c>
      <c r="AH147" s="50">
        <f t="shared" si="39"/>
        <v>0</v>
      </c>
      <c r="AI147" s="51">
        <f t="shared" si="50"/>
        <v>0.28937499999999999</v>
      </c>
      <c r="AJ147">
        <v>0</v>
      </c>
      <c r="AK147">
        <v>0</v>
      </c>
      <c r="AL147" s="21">
        <f t="shared" si="51"/>
        <v>0</v>
      </c>
      <c r="AM147">
        <v>0</v>
      </c>
      <c r="AN147">
        <v>0</v>
      </c>
      <c r="AO147" s="21">
        <f t="shared" si="52"/>
        <v>0</v>
      </c>
      <c r="AP147" s="21">
        <f t="shared" si="40"/>
        <v>2029876</v>
      </c>
      <c r="AQ147" s="21">
        <f t="shared" si="53"/>
        <v>2029876</v>
      </c>
      <c r="AR147" s="48">
        <v>3049314</v>
      </c>
      <c r="AS147" s="48">
        <f t="shared" si="57"/>
        <v>2029876</v>
      </c>
      <c r="AT147" s="71">
        <v>2525078</v>
      </c>
      <c r="AU147" s="21">
        <f t="shared" si="58"/>
        <v>495202</v>
      </c>
      <c r="AV147" s="52" t="str">
        <f t="shared" si="60"/>
        <v>No</v>
      </c>
      <c r="AW147" s="48">
        <f t="shared" si="54"/>
        <v>0</v>
      </c>
      <c r="AX147" s="53">
        <f t="shared" si="55"/>
        <v>2525078</v>
      </c>
      <c r="AY147" s="54">
        <f t="shared" si="59"/>
        <v>2525078</v>
      </c>
      <c r="AZ147" s="55"/>
      <c r="BA147" s="55"/>
      <c r="BB147" s="55"/>
      <c r="BC147" s="55"/>
      <c r="BD147" s="55"/>
    </row>
    <row r="148" spans="1:56" x14ac:dyDescent="0.5">
      <c r="A148" s="5" t="s">
        <v>75</v>
      </c>
      <c r="B148" s="5"/>
      <c r="C148" s="33"/>
      <c r="D148" s="33"/>
      <c r="E148" s="33"/>
      <c r="F148" s="2">
        <v>1</v>
      </c>
      <c r="G148">
        <v>0</v>
      </c>
      <c r="H148" s="5">
        <v>122</v>
      </c>
      <c r="I148" s="2" t="s">
        <v>201</v>
      </c>
      <c r="J148" s="45"/>
      <c r="K148">
        <v>320.64</v>
      </c>
      <c r="L148"/>
      <c r="M148">
        <v>76</v>
      </c>
      <c r="N148" s="46">
        <f t="shared" si="41"/>
        <v>22.8</v>
      </c>
      <c r="O148" s="46">
        <f t="shared" si="42"/>
        <v>192.38</v>
      </c>
      <c r="P148" s="46">
        <f t="shared" si="43"/>
        <v>0</v>
      </c>
      <c r="Q148" s="46">
        <f t="shared" si="44"/>
        <v>0</v>
      </c>
      <c r="R148" s="47">
        <f t="shared" si="45"/>
        <v>0.24</v>
      </c>
      <c r="S148" s="47">
        <f t="shared" si="33"/>
        <v>0</v>
      </c>
      <c r="T148" s="46">
        <f t="shared" si="34"/>
        <v>0</v>
      </c>
      <c r="U148" s="46">
        <f t="shared" si="46"/>
        <v>0</v>
      </c>
      <c r="V148">
        <v>10</v>
      </c>
      <c r="W148" s="46">
        <f t="shared" si="47"/>
        <v>2.5</v>
      </c>
      <c r="X148" s="22">
        <f t="shared" si="48"/>
        <v>22.8</v>
      </c>
      <c r="Y148" s="10">
        <f t="shared" si="49"/>
        <v>345.94</v>
      </c>
      <c r="Z148" s="72">
        <v>2710140550.3299999</v>
      </c>
      <c r="AA148" s="71">
        <v>4206</v>
      </c>
      <c r="AB148" s="22">
        <f t="shared" si="35"/>
        <v>644351.06000000006</v>
      </c>
      <c r="AC148" s="9">
        <f t="shared" si="36"/>
        <v>2.3386650000000002</v>
      </c>
      <c r="AD148" s="71">
        <v>99382</v>
      </c>
      <c r="AE148" s="9">
        <f t="shared" si="37"/>
        <v>0.68374100000000004</v>
      </c>
      <c r="AF148" s="9">
        <f t="shared" si="56"/>
        <v>-0.84218800000000005</v>
      </c>
      <c r="AG148" s="49">
        <f t="shared" si="38"/>
        <v>0.01</v>
      </c>
      <c r="AH148" s="50">
        <f t="shared" si="39"/>
        <v>0</v>
      </c>
      <c r="AI148" s="51">
        <f t="shared" si="50"/>
        <v>0.01</v>
      </c>
      <c r="AJ148">
        <v>66</v>
      </c>
      <c r="AK148">
        <v>4</v>
      </c>
      <c r="AL148" s="21">
        <f t="shared" si="51"/>
        <v>26400</v>
      </c>
      <c r="AM148">
        <v>0</v>
      </c>
      <c r="AN148">
        <v>0</v>
      </c>
      <c r="AO148" s="21">
        <f t="shared" si="52"/>
        <v>0</v>
      </c>
      <c r="AP148" s="21">
        <f t="shared" si="40"/>
        <v>39870</v>
      </c>
      <c r="AQ148" s="21">
        <f t="shared" si="53"/>
        <v>66270</v>
      </c>
      <c r="AR148" s="48">
        <v>10871</v>
      </c>
      <c r="AS148" s="48">
        <f t="shared" si="57"/>
        <v>66270</v>
      </c>
      <c r="AT148" s="71">
        <v>72338</v>
      </c>
      <c r="AU148" s="21">
        <f t="shared" si="58"/>
        <v>6068</v>
      </c>
      <c r="AV148" s="52" t="str">
        <f t="shared" si="60"/>
        <v>No</v>
      </c>
      <c r="AW148" s="48">
        <f t="shared" si="54"/>
        <v>0</v>
      </c>
      <c r="AX148" s="53">
        <f t="shared" si="55"/>
        <v>72338</v>
      </c>
      <c r="AY148" s="54">
        <f t="shared" si="59"/>
        <v>72338</v>
      </c>
      <c r="AZ148" s="55"/>
      <c r="BA148" s="55"/>
      <c r="BB148" s="55"/>
      <c r="BC148" s="55"/>
      <c r="BD148" s="55"/>
    </row>
    <row r="149" spans="1:56" x14ac:dyDescent="0.5">
      <c r="A149" s="5" t="s">
        <v>75</v>
      </c>
      <c r="B149" s="5"/>
      <c r="C149" s="33"/>
      <c r="D149" s="33"/>
      <c r="E149" s="33"/>
      <c r="F149" s="2">
        <v>8</v>
      </c>
      <c r="G149">
        <v>35</v>
      </c>
      <c r="H149" s="5">
        <v>123</v>
      </c>
      <c r="I149" s="2" t="s">
        <v>202</v>
      </c>
      <c r="J149" s="45"/>
      <c r="K149">
        <v>130.34</v>
      </c>
      <c r="L149"/>
      <c r="M149">
        <v>53</v>
      </c>
      <c r="N149" s="46">
        <f t="shared" si="41"/>
        <v>15.9</v>
      </c>
      <c r="O149" s="46">
        <f t="shared" si="42"/>
        <v>78.2</v>
      </c>
      <c r="P149" s="46">
        <f t="shared" si="43"/>
        <v>0</v>
      </c>
      <c r="Q149" s="46">
        <f t="shared" si="44"/>
        <v>0</v>
      </c>
      <c r="R149" s="47">
        <f t="shared" si="45"/>
        <v>0.41</v>
      </c>
      <c r="S149" s="47">
        <f t="shared" si="33"/>
        <v>0</v>
      </c>
      <c r="T149" s="46">
        <f t="shared" si="34"/>
        <v>0</v>
      </c>
      <c r="U149" s="46">
        <f t="shared" si="46"/>
        <v>0</v>
      </c>
      <c r="V149">
        <v>3</v>
      </c>
      <c r="W149" s="46">
        <f t="shared" si="47"/>
        <v>0.75</v>
      </c>
      <c r="X149" s="22">
        <f t="shared" si="48"/>
        <v>15.9</v>
      </c>
      <c r="Y149" s="10">
        <f t="shared" si="49"/>
        <v>146.99</v>
      </c>
      <c r="Z149" s="72">
        <v>232479750.66999999</v>
      </c>
      <c r="AA149" s="71">
        <v>1524</v>
      </c>
      <c r="AB149" s="22">
        <f t="shared" si="35"/>
        <v>152545.76999999999</v>
      </c>
      <c r="AC149" s="9">
        <f t="shared" si="36"/>
        <v>0.55366300000000002</v>
      </c>
      <c r="AD149" s="71">
        <v>94946</v>
      </c>
      <c r="AE149" s="9">
        <f t="shared" si="37"/>
        <v>0.65322100000000005</v>
      </c>
      <c r="AF149" s="9">
        <f t="shared" si="56"/>
        <v>0.41647000000000001</v>
      </c>
      <c r="AG149" s="49">
        <f t="shared" si="38"/>
        <v>0.41647000000000001</v>
      </c>
      <c r="AH149" s="50">
        <f t="shared" si="39"/>
        <v>0</v>
      </c>
      <c r="AI149" s="51">
        <f t="shared" si="50"/>
        <v>0.41647000000000001</v>
      </c>
      <c r="AJ149">
        <v>58</v>
      </c>
      <c r="AK149">
        <v>6</v>
      </c>
      <c r="AL149" s="21">
        <f t="shared" si="51"/>
        <v>34800</v>
      </c>
      <c r="AM149">
        <v>0</v>
      </c>
      <c r="AN149">
        <v>0</v>
      </c>
      <c r="AO149" s="21">
        <f t="shared" si="52"/>
        <v>0</v>
      </c>
      <c r="AP149" s="21">
        <f t="shared" si="40"/>
        <v>705525</v>
      </c>
      <c r="AQ149" s="21">
        <f t="shared" si="53"/>
        <v>740325</v>
      </c>
      <c r="AR149" s="48">
        <v>1423001</v>
      </c>
      <c r="AS149" s="48">
        <f t="shared" si="57"/>
        <v>740325</v>
      </c>
      <c r="AT149" s="71">
        <v>1274671</v>
      </c>
      <c r="AU149" s="21">
        <f t="shared" si="58"/>
        <v>534346</v>
      </c>
      <c r="AV149" s="52" t="str">
        <f t="shared" si="60"/>
        <v>No</v>
      </c>
      <c r="AW149" s="48">
        <f t="shared" si="54"/>
        <v>0</v>
      </c>
      <c r="AX149" s="53">
        <f t="shared" si="55"/>
        <v>1274671</v>
      </c>
      <c r="AY149" s="54">
        <f t="shared" si="59"/>
        <v>1274671</v>
      </c>
      <c r="AZ149" s="55"/>
      <c r="BA149" s="55"/>
      <c r="BB149" s="55"/>
      <c r="BC149" s="55"/>
      <c r="BD149" s="55"/>
    </row>
    <row r="150" spans="1:56" x14ac:dyDescent="0.5">
      <c r="A150" s="5" t="s">
        <v>99</v>
      </c>
      <c r="B150" s="5"/>
      <c r="C150" s="33"/>
      <c r="D150" s="33"/>
      <c r="E150" s="33"/>
      <c r="F150" s="2">
        <v>8</v>
      </c>
      <c r="G150">
        <v>0</v>
      </c>
      <c r="H150" s="5">
        <v>124</v>
      </c>
      <c r="I150" s="2" t="s">
        <v>203</v>
      </c>
      <c r="J150" s="45"/>
      <c r="K150">
        <v>2106.61</v>
      </c>
      <c r="L150"/>
      <c r="M150">
        <v>1010</v>
      </c>
      <c r="N150" s="46">
        <f t="shared" si="41"/>
        <v>303</v>
      </c>
      <c r="O150" s="46">
        <f t="shared" si="42"/>
        <v>1263.97</v>
      </c>
      <c r="P150" s="46">
        <f t="shared" si="43"/>
        <v>0</v>
      </c>
      <c r="Q150" s="46">
        <f t="shared" si="44"/>
        <v>0</v>
      </c>
      <c r="R150" s="47">
        <f t="shared" si="45"/>
        <v>0.48</v>
      </c>
      <c r="S150" s="47">
        <f t="shared" si="33"/>
        <v>0</v>
      </c>
      <c r="T150" s="46">
        <f t="shared" si="34"/>
        <v>0</v>
      </c>
      <c r="U150" s="46">
        <f t="shared" si="46"/>
        <v>0</v>
      </c>
      <c r="V150">
        <v>172</v>
      </c>
      <c r="W150" s="46">
        <f t="shared" si="47"/>
        <v>43</v>
      </c>
      <c r="X150" s="22">
        <f t="shared" si="48"/>
        <v>303</v>
      </c>
      <c r="Y150" s="10">
        <f t="shared" si="49"/>
        <v>2452.61</v>
      </c>
      <c r="Z150" s="72">
        <v>2734591965.3299999</v>
      </c>
      <c r="AA150" s="71">
        <v>16799</v>
      </c>
      <c r="AB150" s="22">
        <f t="shared" si="35"/>
        <v>162783.01999999999</v>
      </c>
      <c r="AC150" s="9">
        <f t="shared" si="36"/>
        <v>0.59081899999999998</v>
      </c>
      <c r="AD150" s="71">
        <v>103682</v>
      </c>
      <c r="AE150" s="9">
        <f t="shared" si="37"/>
        <v>0.71332399999999996</v>
      </c>
      <c r="AF150" s="9">
        <f t="shared" si="56"/>
        <v>0.37242999999999998</v>
      </c>
      <c r="AG150" s="49">
        <f t="shared" si="38"/>
        <v>0.37242999999999998</v>
      </c>
      <c r="AH150" s="50">
        <f t="shared" si="39"/>
        <v>0</v>
      </c>
      <c r="AI150" s="51">
        <f t="shared" si="50"/>
        <v>0.37242999999999998</v>
      </c>
      <c r="AJ150">
        <v>0</v>
      </c>
      <c r="AK150">
        <v>0</v>
      </c>
      <c r="AL150" s="21">
        <f t="shared" si="51"/>
        <v>0</v>
      </c>
      <c r="AM150">
        <v>0</v>
      </c>
      <c r="AN150">
        <v>0</v>
      </c>
      <c r="AO150" s="21">
        <f t="shared" si="52"/>
        <v>0</v>
      </c>
      <c r="AP150" s="21">
        <f t="shared" si="40"/>
        <v>10527229</v>
      </c>
      <c r="AQ150" s="21">
        <f t="shared" si="53"/>
        <v>10527229</v>
      </c>
      <c r="AR150" s="48">
        <v>10040987</v>
      </c>
      <c r="AS150" s="48">
        <f t="shared" si="57"/>
        <v>10527229</v>
      </c>
      <c r="AT150" s="71">
        <v>11911359</v>
      </c>
      <c r="AU150" s="21">
        <f t="shared" si="58"/>
        <v>1384130</v>
      </c>
      <c r="AV150" s="52" t="str">
        <f t="shared" si="60"/>
        <v>No</v>
      </c>
      <c r="AW150" s="48">
        <f t="shared" si="54"/>
        <v>0</v>
      </c>
      <c r="AX150" s="53">
        <f t="shared" si="55"/>
        <v>11911359</v>
      </c>
      <c r="AY150" s="54">
        <f t="shared" si="59"/>
        <v>11911359</v>
      </c>
      <c r="AZ150" s="55"/>
      <c r="BA150" s="55"/>
      <c r="BB150" s="55"/>
      <c r="BC150" s="55"/>
      <c r="BD150" s="55"/>
    </row>
    <row r="151" spans="1:56" x14ac:dyDescent="0.5">
      <c r="A151" s="5" t="s">
        <v>75</v>
      </c>
      <c r="B151" s="5"/>
      <c r="C151" s="33"/>
      <c r="D151" s="33"/>
      <c r="E151" s="33"/>
      <c r="F151" s="2">
        <v>1</v>
      </c>
      <c r="G151">
        <v>0</v>
      </c>
      <c r="H151" s="5">
        <v>125</v>
      </c>
      <c r="I151" s="2" t="s">
        <v>204</v>
      </c>
      <c r="J151" s="45"/>
      <c r="K151">
        <v>114.44</v>
      </c>
      <c r="L151"/>
      <c r="M151">
        <v>48</v>
      </c>
      <c r="N151" s="46">
        <f t="shared" si="41"/>
        <v>14.4</v>
      </c>
      <c r="O151" s="46">
        <f t="shared" si="42"/>
        <v>68.66</v>
      </c>
      <c r="P151" s="46">
        <f t="shared" si="43"/>
        <v>0</v>
      </c>
      <c r="Q151" s="46">
        <f t="shared" si="44"/>
        <v>0</v>
      </c>
      <c r="R151" s="47">
        <f t="shared" si="45"/>
        <v>0.42</v>
      </c>
      <c r="S151" s="47">
        <f t="shared" si="33"/>
        <v>0</v>
      </c>
      <c r="T151" s="46">
        <f t="shared" si="34"/>
        <v>0</v>
      </c>
      <c r="U151" s="46">
        <f t="shared" si="46"/>
        <v>0</v>
      </c>
      <c r="V151">
        <v>3</v>
      </c>
      <c r="W151" s="46">
        <f t="shared" si="47"/>
        <v>0.75</v>
      </c>
      <c r="X151" s="22">
        <f t="shared" si="48"/>
        <v>14.4</v>
      </c>
      <c r="Y151" s="10">
        <f t="shared" si="49"/>
        <v>129.59</v>
      </c>
      <c r="Z151" s="72">
        <v>1555235837.3299999</v>
      </c>
      <c r="AA151" s="71">
        <v>2710</v>
      </c>
      <c r="AB151" s="22">
        <f t="shared" si="35"/>
        <v>573887.76</v>
      </c>
      <c r="AC151" s="9">
        <f t="shared" si="36"/>
        <v>2.082919</v>
      </c>
      <c r="AD151" s="71">
        <v>106951</v>
      </c>
      <c r="AE151" s="9">
        <f t="shared" si="37"/>
        <v>0.735815</v>
      </c>
      <c r="AF151" s="9">
        <f t="shared" si="56"/>
        <v>-0.67878799999999995</v>
      </c>
      <c r="AG151" s="49">
        <f t="shared" si="38"/>
        <v>0.01</v>
      </c>
      <c r="AH151" s="50">
        <f t="shared" si="39"/>
        <v>0</v>
      </c>
      <c r="AI151" s="51">
        <f t="shared" si="50"/>
        <v>0.01</v>
      </c>
      <c r="AJ151">
        <v>30</v>
      </c>
      <c r="AK151">
        <v>4</v>
      </c>
      <c r="AL151" s="21">
        <f t="shared" si="51"/>
        <v>12000</v>
      </c>
      <c r="AM151">
        <v>0</v>
      </c>
      <c r="AN151">
        <v>0</v>
      </c>
      <c r="AO151" s="21">
        <f t="shared" si="52"/>
        <v>0</v>
      </c>
      <c r="AP151" s="21">
        <f t="shared" si="40"/>
        <v>14935</v>
      </c>
      <c r="AQ151" s="21">
        <f t="shared" si="53"/>
        <v>26935</v>
      </c>
      <c r="AR151" s="48">
        <v>9960</v>
      </c>
      <c r="AS151" s="48">
        <f t="shared" si="57"/>
        <v>26935</v>
      </c>
      <c r="AT151" s="71">
        <v>29987</v>
      </c>
      <c r="AU151" s="21">
        <f t="shared" si="58"/>
        <v>3052</v>
      </c>
      <c r="AV151" s="52" t="str">
        <f t="shared" si="60"/>
        <v>No</v>
      </c>
      <c r="AW151" s="48">
        <f t="shared" si="54"/>
        <v>0</v>
      </c>
      <c r="AX151" s="53">
        <f t="shared" si="55"/>
        <v>29987</v>
      </c>
      <c r="AY151" s="54">
        <f t="shared" si="59"/>
        <v>29987</v>
      </c>
      <c r="AZ151" s="55"/>
      <c r="BA151" s="55"/>
      <c r="BB151" s="55"/>
      <c r="BC151" s="55"/>
      <c r="BD151" s="55"/>
    </row>
    <row r="152" spans="1:56" x14ac:dyDescent="0.5">
      <c r="A152" s="5" t="s">
        <v>81</v>
      </c>
      <c r="B152" s="5"/>
      <c r="C152" s="33"/>
      <c r="D152" s="33"/>
      <c r="E152" s="33"/>
      <c r="F152" s="2">
        <v>4</v>
      </c>
      <c r="G152">
        <v>0</v>
      </c>
      <c r="H152" s="5">
        <v>126</v>
      </c>
      <c r="I152" s="2" t="s">
        <v>205</v>
      </c>
      <c r="J152" s="45"/>
      <c r="K152">
        <v>4555.51</v>
      </c>
      <c r="L152"/>
      <c r="M152">
        <v>1634</v>
      </c>
      <c r="N152" s="46">
        <f t="shared" si="41"/>
        <v>490.2</v>
      </c>
      <c r="O152" s="46">
        <f t="shared" si="42"/>
        <v>2733.31</v>
      </c>
      <c r="P152" s="46">
        <f t="shared" si="43"/>
        <v>0</v>
      </c>
      <c r="Q152" s="46">
        <f t="shared" si="44"/>
        <v>0</v>
      </c>
      <c r="R152" s="47">
        <f t="shared" si="45"/>
        <v>0.36</v>
      </c>
      <c r="S152" s="47">
        <f t="shared" si="33"/>
        <v>0</v>
      </c>
      <c r="T152" s="46">
        <f t="shared" si="34"/>
        <v>0</v>
      </c>
      <c r="U152" s="46">
        <f t="shared" si="46"/>
        <v>0</v>
      </c>
      <c r="V152">
        <v>340</v>
      </c>
      <c r="W152" s="46">
        <f t="shared" si="47"/>
        <v>85</v>
      </c>
      <c r="X152" s="22">
        <f t="shared" si="48"/>
        <v>490.2</v>
      </c>
      <c r="Y152" s="10">
        <f t="shared" si="49"/>
        <v>5130.71</v>
      </c>
      <c r="Z152" s="72">
        <v>10154209125.33</v>
      </c>
      <c r="AA152" s="71">
        <v>41402</v>
      </c>
      <c r="AB152" s="22">
        <f t="shared" si="35"/>
        <v>245258.9</v>
      </c>
      <c r="AC152" s="9">
        <f t="shared" si="36"/>
        <v>0.89016499999999998</v>
      </c>
      <c r="AD152" s="71">
        <v>114739</v>
      </c>
      <c r="AE152" s="9">
        <f t="shared" si="37"/>
        <v>0.78939599999999999</v>
      </c>
      <c r="AF152" s="9">
        <f t="shared" si="56"/>
        <v>0.140066</v>
      </c>
      <c r="AG152" s="49">
        <f t="shared" si="38"/>
        <v>0.140066</v>
      </c>
      <c r="AH152" s="50">
        <f t="shared" si="39"/>
        <v>0</v>
      </c>
      <c r="AI152" s="51">
        <f t="shared" si="50"/>
        <v>0.140066</v>
      </c>
      <c r="AJ152">
        <v>0</v>
      </c>
      <c r="AK152">
        <v>0</v>
      </c>
      <c r="AL152" s="21">
        <f t="shared" si="51"/>
        <v>0</v>
      </c>
      <c r="AM152">
        <v>0</v>
      </c>
      <c r="AN152">
        <v>0</v>
      </c>
      <c r="AO152" s="21">
        <f t="shared" si="52"/>
        <v>0</v>
      </c>
      <c r="AP152" s="21">
        <f t="shared" si="40"/>
        <v>8282303</v>
      </c>
      <c r="AQ152" s="21">
        <f t="shared" si="53"/>
        <v>8282303</v>
      </c>
      <c r="AR152" s="48">
        <v>5893771</v>
      </c>
      <c r="AS152" s="48">
        <f t="shared" si="57"/>
        <v>8282303</v>
      </c>
      <c r="AT152" s="71">
        <v>9087506</v>
      </c>
      <c r="AU152" s="21">
        <f t="shared" si="58"/>
        <v>805203</v>
      </c>
      <c r="AV152" s="52" t="str">
        <f t="shared" si="60"/>
        <v>No</v>
      </c>
      <c r="AW152" s="48">
        <f t="shared" si="54"/>
        <v>0</v>
      </c>
      <c r="AX152" s="53">
        <f t="shared" si="55"/>
        <v>9087506</v>
      </c>
      <c r="AY152" s="54">
        <f t="shared" si="59"/>
        <v>9087506</v>
      </c>
      <c r="AZ152" s="55"/>
      <c r="BA152" s="55"/>
      <c r="BB152" s="55"/>
      <c r="BC152" s="55"/>
      <c r="BD152" s="55"/>
    </row>
    <row r="153" spans="1:56" x14ac:dyDescent="0.5">
      <c r="A153" s="5" t="s">
        <v>71</v>
      </c>
      <c r="B153" s="5"/>
      <c r="C153" s="33"/>
      <c r="D153" s="33"/>
      <c r="E153" s="33"/>
      <c r="F153" s="2">
        <v>2</v>
      </c>
      <c r="G153">
        <v>0</v>
      </c>
      <c r="H153" s="5">
        <v>127</v>
      </c>
      <c r="I153" s="2" t="s">
        <v>206</v>
      </c>
      <c r="J153" s="45"/>
      <c r="K153">
        <v>330.76</v>
      </c>
      <c r="L153"/>
      <c r="M153">
        <v>24</v>
      </c>
      <c r="N153" s="46">
        <f t="shared" si="41"/>
        <v>7.2</v>
      </c>
      <c r="O153" s="46">
        <f t="shared" si="42"/>
        <v>198.46</v>
      </c>
      <c r="P153" s="46">
        <f t="shared" si="43"/>
        <v>0</v>
      </c>
      <c r="Q153" s="46">
        <f t="shared" si="44"/>
        <v>0</v>
      </c>
      <c r="R153" s="47">
        <f t="shared" si="45"/>
        <v>7.0000000000000007E-2</v>
      </c>
      <c r="S153" s="47">
        <f t="shared" si="33"/>
        <v>0</v>
      </c>
      <c r="T153" s="46">
        <f t="shared" si="34"/>
        <v>0</v>
      </c>
      <c r="U153" s="46">
        <f t="shared" si="46"/>
        <v>0</v>
      </c>
      <c r="V153">
        <v>1</v>
      </c>
      <c r="W153" s="46">
        <f t="shared" si="47"/>
        <v>0.25</v>
      </c>
      <c r="X153" s="22">
        <f t="shared" si="48"/>
        <v>7.2</v>
      </c>
      <c r="Y153" s="10">
        <f t="shared" si="49"/>
        <v>338.21</v>
      </c>
      <c r="Z153" s="72">
        <v>1349258978.3299999</v>
      </c>
      <c r="AA153" s="71">
        <v>3508</v>
      </c>
      <c r="AB153" s="22">
        <f t="shared" si="35"/>
        <v>384623.43</v>
      </c>
      <c r="AC153" s="9">
        <f t="shared" si="36"/>
        <v>1.3959870000000001</v>
      </c>
      <c r="AD153" s="71">
        <v>107375</v>
      </c>
      <c r="AE153" s="9">
        <f t="shared" si="37"/>
        <v>0.73873200000000006</v>
      </c>
      <c r="AF153" s="9">
        <f t="shared" si="56"/>
        <v>-0.19881099999999999</v>
      </c>
      <c r="AG153" s="49">
        <f t="shared" si="38"/>
        <v>0.01</v>
      </c>
      <c r="AH153" s="50">
        <f t="shared" si="39"/>
        <v>0</v>
      </c>
      <c r="AI153" s="51">
        <f t="shared" si="50"/>
        <v>0.01</v>
      </c>
      <c r="AJ153">
        <v>0</v>
      </c>
      <c r="AK153">
        <v>0</v>
      </c>
      <c r="AL153" s="21">
        <f t="shared" si="51"/>
        <v>0</v>
      </c>
      <c r="AM153">
        <v>0</v>
      </c>
      <c r="AN153">
        <v>0</v>
      </c>
      <c r="AO153" s="21">
        <f t="shared" si="52"/>
        <v>0</v>
      </c>
      <c r="AP153" s="21">
        <f t="shared" si="40"/>
        <v>38979</v>
      </c>
      <c r="AQ153" s="21">
        <f t="shared" si="53"/>
        <v>38979</v>
      </c>
      <c r="AR153" s="48">
        <v>46611</v>
      </c>
      <c r="AS153" s="48">
        <f t="shared" si="57"/>
        <v>38979</v>
      </c>
      <c r="AT153" s="71">
        <v>46995</v>
      </c>
      <c r="AU153" s="21">
        <f t="shared" si="58"/>
        <v>8016</v>
      </c>
      <c r="AV153" s="52" t="str">
        <f t="shared" si="60"/>
        <v>No</v>
      </c>
      <c r="AW153" s="48">
        <f t="shared" si="54"/>
        <v>0</v>
      </c>
      <c r="AX153" s="53">
        <f t="shared" si="55"/>
        <v>46995</v>
      </c>
      <c r="AY153" s="54">
        <f t="shared" si="59"/>
        <v>46995</v>
      </c>
      <c r="AZ153" s="55"/>
      <c r="BA153" s="55"/>
      <c r="BB153" s="55"/>
      <c r="BC153" s="55"/>
      <c r="BD153" s="55"/>
    </row>
    <row r="154" spans="1:56" x14ac:dyDescent="0.5">
      <c r="A154" s="5" t="s">
        <v>77</v>
      </c>
      <c r="B154" s="5"/>
      <c r="C154" s="33"/>
      <c r="D154" s="33"/>
      <c r="E154" s="33"/>
      <c r="F154" s="2">
        <v>3</v>
      </c>
      <c r="G154">
        <v>0</v>
      </c>
      <c r="H154" s="5">
        <v>128</v>
      </c>
      <c r="I154" s="2" t="s">
        <v>207</v>
      </c>
      <c r="J154" s="45"/>
      <c r="K154">
        <v>4016.72</v>
      </c>
      <c r="L154"/>
      <c r="M154">
        <v>569</v>
      </c>
      <c r="N154" s="46">
        <f t="shared" si="41"/>
        <v>170.7</v>
      </c>
      <c r="O154" s="46">
        <f t="shared" si="42"/>
        <v>2410.0300000000002</v>
      </c>
      <c r="P154" s="46">
        <f t="shared" si="43"/>
        <v>0</v>
      </c>
      <c r="Q154" s="46">
        <f t="shared" si="44"/>
        <v>0</v>
      </c>
      <c r="R154" s="47">
        <f t="shared" si="45"/>
        <v>0.14000000000000001</v>
      </c>
      <c r="S154" s="47">
        <f t="shared" si="33"/>
        <v>0</v>
      </c>
      <c r="T154" s="46">
        <f t="shared" si="34"/>
        <v>0</v>
      </c>
      <c r="U154" s="46">
        <f t="shared" si="46"/>
        <v>0</v>
      </c>
      <c r="V154">
        <v>77</v>
      </c>
      <c r="W154" s="46">
        <f t="shared" si="47"/>
        <v>19.25</v>
      </c>
      <c r="X154" s="22">
        <f t="shared" si="48"/>
        <v>170.7</v>
      </c>
      <c r="Y154" s="10">
        <f t="shared" si="49"/>
        <v>4206.67</v>
      </c>
      <c r="Z154" s="72">
        <v>5285133507</v>
      </c>
      <c r="AA154" s="71">
        <v>24747</v>
      </c>
      <c r="AB154" s="22">
        <f t="shared" si="35"/>
        <v>213566.63</v>
      </c>
      <c r="AC154" s="9">
        <f t="shared" si="36"/>
        <v>0.77513799999999999</v>
      </c>
      <c r="AD154" s="71">
        <v>153715</v>
      </c>
      <c r="AE154" s="9">
        <f t="shared" si="37"/>
        <v>1.057547</v>
      </c>
      <c r="AF154" s="9">
        <f t="shared" si="56"/>
        <v>0.14013900000000001</v>
      </c>
      <c r="AG154" s="49">
        <f t="shared" si="38"/>
        <v>0.14013900000000001</v>
      </c>
      <c r="AH154" s="50">
        <f t="shared" si="39"/>
        <v>0</v>
      </c>
      <c r="AI154" s="51">
        <f t="shared" si="50"/>
        <v>0.14013900000000001</v>
      </c>
      <c r="AJ154">
        <v>0</v>
      </c>
      <c r="AK154">
        <v>0</v>
      </c>
      <c r="AL154" s="21">
        <f t="shared" si="51"/>
        <v>0</v>
      </c>
      <c r="AM154">
        <v>0</v>
      </c>
      <c r="AN154">
        <v>0</v>
      </c>
      <c r="AO154" s="21">
        <f t="shared" si="52"/>
        <v>0</v>
      </c>
      <c r="AP154" s="21">
        <f t="shared" si="40"/>
        <v>6794201</v>
      </c>
      <c r="AQ154" s="21">
        <f t="shared" si="53"/>
        <v>6794201</v>
      </c>
      <c r="AR154" s="48">
        <v>6087799</v>
      </c>
      <c r="AS154" s="48">
        <f t="shared" si="57"/>
        <v>6794201</v>
      </c>
      <c r="AT154" s="71">
        <v>8273772</v>
      </c>
      <c r="AU154" s="21">
        <f t="shared" si="58"/>
        <v>1479571</v>
      </c>
      <c r="AV154" s="52" t="str">
        <f t="shared" si="60"/>
        <v>No</v>
      </c>
      <c r="AW154" s="48">
        <f t="shared" si="54"/>
        <v>0</v>
      </c>
      <c r="AX154" s="53">
        <f t="shared" si="55"/>
        <v>8273772</v>
      </c>
      <c r="AY154" s="54">
        <f t="shared" si="59"/>
        <v>8273772</v>
      </c>
      <c r="AZ154" s="55"/>
      <c r="BA154" s="55"/>
      <c r="BB154" s="55"/>
      <c r="BC154" s="55"/>
      <c r="BD154" s="55"/>
    </row>
    <row r="155" spans="1:56" x14ac:dyDescent="0.5">
      <c r="A155" s="5" t="s">
        <v>71</v>
      </c>
      <c r="B155" s="5"/>
      <c r="C155" s="33"/>
      <c r="D155" s="33"/>
      <c r="E155" s="33"/>
      <c r="F155" s="2">
        <v>6</v>
      </c>
      <c r="G155">
        <v>0</v>
      </c>
      <c r="H155" s="5">
        <v>129</v>
      </c>
      <c r="I155" s="2" t="s">
        <v>208</v>
      </c>
      <c r="J155" s="45"/>
      <c r="K155">
        <v>1285.21</v>
      </c>
      <c r="L155"/>
      <c r="M155">
        <v>96</v>
      </c>
      <c r="N155" s="46">
        <f t="shared" si="41"/>
        <v>28.8</v>
      </c>
      <c r="O155" s="46">
        <f t="shared" si="42"/>
        <v>771.13</v>
      </c>
      <c r="P155" s="46">
        <f t="shared" si="43"/>
        <v>0</v>
      </c>
      <c r="Q155" s="46">
        <f t="shared" si="44"/>
        <v>0</v>
      </c>
      <c r="R155" s="47">
        <f t="shared" si="45"/>
        <v>7.0000000000000007E-2</v>
      </c>
      <c r="S155" s="47">
        <f t="shared" ref="S155:S195" si="61">IF(R155&gt;0.6,+R155-0.6,0)</f>
        <v>0</v>
      </c>
      <c r="T155" s="46">
        <f t="shared" ref="T155:T195" si="62">ROUND(S155*K155,2)</f>
        <v>0</v>
      </c>
      <c r="U155" s="46">
        <f t="shared" si="46"/>
        <v>0</v>
      </c>
      <c r="V155">
        <v>21</v>
      </c>
      <c r="W155" s="46">
        <f t="shared" si="47"/>
        <v>5.25</v>
      </c>
      <c r="X155" s="22">
        <f t="shared" si="48"/>
        <v>28.8</v>
      </c>
      <c r="Y155" s="10">
        <f t="shared" si="49"/>
        <v>1319.26</v>
      </c>
      <c r="Z155" s="72">
        <v>1794605431</v>
      </c>
      <c r="AA155" s="71">
        <v>10164</v>
      </c>
      <c r="AB155" s="22">
        <f t="shared" ref="AB155:AB195" si="63">ROUND(Z155/AA155,2)</f>
        <v>176564.88</v>
      </c>
      <c r="AC155" s="9">
        <f t="shared" ref="AC155:AC195" si="64">(ROUND(AB155/$AC$21,6))</f>
        <v>0.64083999999999997</v>
      </c>
      <c r="AD155" s="71">
        <v>115119</v>
      </c>
      <c r="AE155" s="9">
        <f t="shared" ref="AE155:AE195" si="65">(ROUND(AD155/$AE$21,6))</f>
        <v>0.79200999999999999</v>
      </c>
      <c r="AF155" s="9">
        <f t="shared" si="56"/>
        <v>0.313809</v>
      </c>
      <c r="AG155" s="49">
        <f t="shared" ref="AG155:AG195" si="66">IF(OR(B155=1,C155=1),MAX($L$7,AF155),MAX($L$6,AF155))</f>
        <v>0.313809</v>
      </c>
      <c r="AH155" s="50">
        <f t="shared" ref="AH155:AH195" si="67">IF(G155&gt;=1,IF(G155&lt;=5,0.06,IF(G155&lt;=10,0.05,IF(G155&lt;=15,0.04,IF(G155&lt;=19,0.03,0)))),0)</f>
        <v>0</v>
      </c>
      <c r="AI155" s="51">
        <f t="shared" si="50"/>
        <v>0.313809</v>
      </c>
      <c r="AJ155">
        <v>0</v>
      </c>
      <c r="AK155">
        <v>0</v>
      </c>
      <c r="AL155" s="21">
        <f t="shared" si="51"/>
        <v>0</v>
      </c>
      <c r="AM155">
        <v>0</v>
      </c>
      <c r="AN155">
        <v>0</v>
      </c>
      <c r="AO155" s="21">
        <f t="shared" si="52"/>
        <v>0</v>
      </c>
      <c r="AP155" s="21">
        <f t="shared" ref="AP155:AP195" si="68">ROUND(Y155*AI155*$AP$21,0)</f>
        <v>4771300</v>
      </c>
      <c r="AQ155" s="21">
        <f t="shared" si="53"/>
        <v>4771300</v>
      </c>
      <c r="AR155" s="48">
        <v>5929453</v>
      </c>
      <c r="AS155" s="48">
        <f t="shared" si="57"/>
        <v>4771300</v>
      </c>
      <c r="AT155" s="71">
        <v>5692630</v>
      </c>
      <c r="AU155" s="21">
        <f t="shared" si="58"/>
        <v>921330</v>
      </c>
      <c r="AV155" s="52" t="str">
        <f t="shared" si="60"/>
        <v>No</v>
      </c>
      <c r="AW155" s="48">
        <f t="shared" si="54"/>
        <v>0</v>
      </c>
      <c r="AX155" s="53">
        <f t="shared" si="55"/>
        <v>5692630</v>
      </c>
      <c r="AY155" s="54">
        <f t="shared" si="59"/>
        <v>5692630</v>
      </c>
      <c r="AZ155" s="55"/>
      <c r="BA155" s="55"/>
      <c r="BB155" s="55"/>
      <c r="BC155" s="55"/>
      <c r="BD155" s="55"/>
    </row>
    <row r="156" spans="1:56" x14ac:dyDescent="0.5">
      <c r="A156" s="5" t="s">
        <v>77</v>
      </c>
      <c r="B156" s="5"/>
      <c r="C156" s="33"/>
      <c r="D156" s="33"/>
      <c r="E156" s="33"/>
      <c r="F156" s="2">
        <v>5</v>
      </c>
      <c r="G156">
        <v>0</v>
      </c>
      <c r="H156" s="5">
        <v>130</v>
      </c>
      <c r="I156" s="2" t="s">
        <v>209</v>
      </c>
      <c r="J156" s="45"/>
      <c r="K156">
        <v>2286.14</v>
      </c>
      <c r="L156"/>
      <c r="M156">
        <v>315</v>
      </c>
      <c r="N156" s="46">
        <f t="shared" ref="N156:N195" si="69">ROUND(M156*0.3,2)</f>
        <v>94.5</v>
      </c>
      <c r="O156" s="46">
        <f t="shared" ref="O156:O195" si="70">ROUND(K156*0.6,2)</f>
        <v>1371.68</v>
      </c>
      <c r="P156" s="46">
        <f t="shared" ref="P156:P195" si="71">MAX(M156-O156,0)</f>
        <v>0</v>
      </c>
      <c r="Q156" s="46">
        <f t="shared" ref="Q156:Q195" si="72">ROUND(P156*0.15,2)</f>
        <v>0</v>
      </c>
      <c r="R156" s="47">
        <f t="shared" ref="R156:R195" si="73">ROUND(M156/K156,2)</f>
        <v>0.14000000000000001</v>
      </c>
      <c r="S156" s="47">
        <f t="shared" si="61"/>
        <v>0</v>
      </c>
      <c r="T156" s="46">
        <f t="shared" si="62"/>
        <v>0</v>
      </c>
      <c r="U156" s="46">
        <f t="shared" ref="U156:U195" si="74">ROUND(T156*0.15,2)</f>
        <v>0</v>
      </c>
      <c r="V156">
        <v>38</v>
      </c>
      <c r="W156" s="46">
        <f t="shared" ref="W156:W195" si="75">ROUND(V156*0.25,2)</f>
        <v>9.5</v>
      </c>
      <c r="X156" s="22">
        <f t="shared" ref="X156:X195" si="76">ROUND(M156*$X$2,2)</f>
        <v>94.5</v>
      </c>
      <c r="Y156" s="10">
        <f t="shared" ref="Y156:Y195" si="77">+K156+N156+Q156+W156</f>
        <v>2390.14</v>
      </c>
      <c r="Z156" s="72">
        <v>4494234118.3299999</v>
      </c>
      <c r="AA156" s="71">
        <v>19973</v>
      </c>
      <c r="AB156" s="22">
        <f t="shared" si="63"/>
        <v>225015.48</v>
      </c>
      <c r="AC156" s="9">
        <f t="shared" si="64"/>
        <v>0.81669099999999994</v>
      </c>
      <c r="AD156" s="71">
        <v>112434</v>
      </c>
      <c r="AE156" s="9">
        <f t="shared" si="65"/>
        <v>0.77353700000000003</v>
      </c>
      <c r="AF156" s="9">
        <f t="shared" si="56"/>
        <v>0.19625500000000001</v>
      </c>
      <c r="AG156" s="49">
        <f t="shared" si="66"/>
        <v>0.19625500000000001</v>
      </c>
      <c r="AH156" s="50">
        <f t="shared" si="67"/>
        <v>0</v>
      </c>
      <c r="AI156" s="51">
        <f t="shared" ref="AI156:AI195" si="78">+AH156+AG156</f>
        <v>0.19625500000000001</v>
      </c>
      <c r="AJ156">
        <v>2288</v>
      </c>
      <c r="AK156">
        <v>13</v>
      </c>
      <c r="AL156" s="21">
        <f t="shared" ref="AL156:AL195" si="79">ROUND(AJ156*AK156*100,0)</f>
        <v>2974400</v>
      </c>
      <c r="AM156">
        <v>0</v>
      </c>
      <c r="AN156">
        <v>0</v>
      </c>
      <c r="AO156" s="21">
        <f t="shared" ref="AO156:AO195" si="80">ROUND(AM156*AN156*100,0)</f>
        <v>0</v>
      </c>
      <c r="AP156" s="21">
        <f t="shared" si="68"/>
        <v>5406112</v>
      </c>
      <c r="AQ156" s="21">
        <f t="shared" ref="AQ156:AQ195" si="81">SUM(AL156+AO156+AP156)</f>
        <v>8380512</v>
      </c>
      <c r="AR156" s="48">
        <v>3458266</v>
      </c>
      <c r="AS156" s="48">
        <f t="shared" si="57"/>
        <v>8380512</v>
      </c>
      <c r="AT156" s="71">
        <v>8158182</v>
      </c>
      <c r="AU156" s="21">
        <f t="shared" si="58"/>
        <v>222330</v>
      </c>
      <c r="AV156" s="52" t="str">
        <f t="shared" si="60"/>
        <v>Yes</v>
      </c>
      <c r="AW156" s="48">
        <f t="shared" ref="AW156:AW195" si="82">IF(AV156="Yes",+AU156*$L$9,+AU156*$L$10)</f>
        <v>222330</v>
      </c>
      <c r="AX156" s="53">
        <f t="shared" ref="AX156:AX195" si="83">IF(AV156="Yes",AT156+AW156,AT156- AW156)</f>
        <v>8380512</v>
      </c>
      <c r="AY156" s="54">
        <f t="shared" si="59"/>
        <v>8380512</v>
      </c>
      <c r="AZ156" s="55"/>
      <c r="BA156" s="55"/>
      <c r="BB156" s="55"/>
      <c r="BC156" s="55"/>
      <c r="BD156" s="55"/>
    </row>
    <row r="157" spans="1:56" x14ac:dyDescent="0.5">
      <c r="A157" s="5" t="s">
        <v>81</v>
      </c>
      <c r="B157" s="5"/>
      <c r="C157" s="33"/>
      <c r="D157" s="33"/>
      <c r="E157" s="33"/>
      <c r="F157" s="2">
        <v>6</v>
      </c>
      <c r="G157">
        <v>0</v>
      </c>
      <c r="H157" s="5">
        <v>131</v>
      </c>
      <c r="I157" s="2" t="s">
        <v>210</v>
      </c>
      <c r="J157" s="45"/>
      <c r="K157">
        <v>5989.21</v>
      </c>
      <c r="L157"/>
      <c r="M157">
        <v>1569</v>
      </c>
      <c r="N157" s="46">
        <f t="shared" si="69"/>
        <v>470.7</v>
      </c>
      <c r="O157" s="46">
        <f t="shared" si="70"/>
        <v>3593.53</v>
      </c>
      <c r="P157" s="46">
        <f t="shared" si="71"/>
        <v>0</v>
      </c>
      <c r="Q157" s="46">
        <f t="shared" si="72"/>
        <v>0</v>
      </c>
      <c r="R157" s="47">
        <f t="shared" si="73"/>
        <v>0.26</v>
      </c>
      <c r="S157" s="47">
        <f t="shared" si="61"/>
        <v>0</v>
      </c>
      <c r="T157" s="46">
        <f t="shared" si="62"/>
        <v>0</v>
      </c>
      <c r="U157" s="46">
        <f t="shared" si="74"/>
        <v>0</v>
      </c>
      <c r="V157">
        <v>247</v>
      </c>
      <c r="W157" s="46">
        <f t="shared" si="75"/>
        <v>61.75</v>
      </c>
      <c r="X157" s="22">
        <f t="shared" si="76"/>
        <v>470.7</v>
      </c>
      <c r="Y157" s="10">
        <f t="shared" si="77"/>
        <v>6521.66</v>
      </c>
      <c r="Z157" s="72">
        <v>8893201419.3299999</v>
      </c>
      <c r="AA157" s="71">
        <v>43575</v>
      </c>
      <c r="AB157" s="22">
        <f t="shared" si="63"/>
        <v>204089.53</v>
      </c>
      <c r="AC157" s="9">
        <f t="shared" si="64"/>
        <v>0.74074099999999998</v>
      </c>
      <c r="AD157" s="71">
        <v>121584</v>
      </c>
      <c r="AE157" s="9">
        <f t="shared" si="65"/>
        <v>0.83648900000000004</v>
      </c>
      <c r="AF157" s="9">
        <f t="shared" ref="AF157:AF195" si="84">ROUND(1-((AC157*$L$4)+(AE157*$L$5)),6)</f>
        <v>0.23053499999999999</v>
      </c>
      <c r="AG157" s="49">
        <f t="shared" si="66"/>
        <v>0.23053499999999999</v>
      </c>
      <c r="AH157" s="50">
        <f t="shared" si="67"/>
        <v>0</v>
      </c>
      <c r="AI157" s="51">
        <f t="shared" si="78"/>
        <v>0.23053499999999999</v>
      </c>
      <c r="AJ157">
        <v>0</v>
      </c>
      <c r="AK157">
        <v>0</v>
      </c>
      <c r="AL157" s="21">
        <f t="shared" si="79"/>
        <v>0</v>
      </c>
      <c r="AM157">
        <v>0</v>
      </c>
      <c r="AN157">
        <v>0</v>
      </c>
      <c r="AO157" s="21">
        <f t="shared" si="80"/>
        <v>0</v>
      </c>
      <c r="AP157" s="21">
        <f t="shared" si="68"/>
        <v>17327502</v>
      </c>
      <c r="AQ157" s="21">
        <f t="shared" si="81"/>
        <v>17327502</v>
      </c>
      <c r="AR157" s="48">
        <v>20268059</v>
      </c>
      <c r="AS157" s="48">
        <f t="shared" ref="AS157:AS195" si="85">IF(C157=1, MAX(AR157, AQ157, AT157), AQ157)</f>
        <v>17327502</v>
      </c>
      <c r="AT157" s="71">
        <v>20848374</v>
      </c>
      <c r="AU157" s="21">
        <f t="shared" ref="AU157:AU195" si="86">ABS(AQ157-AT157)</f>
        <v>3520872</v>
      </c>
      <c r="AV157" s="52" t="str">
        <f t="shared" si="60"/>
        <v>No</v>
      </c>
      <c r="AW157" s="48">
        <f t="shared" si="82"/>
        <v>0</v>
      </c>
      <c r="AX157" s="53">
        <f t="shared" si="83"/>
        <v>20848374</v>
      </c>
      <c r="AY157" s="54">
        <f t="shared" ref="AY157:AY195" si="87">IF(C157=1,MAX(AX157,AR157,AT157),AX157)</f>
        <v>20848374</v>
      </c>
      <c r="AZ157" s="55"/>
      <c r="BA157" s="55"/>
      <c r="BB157" s="55"/>
      <c r="BC157" s="55"/>
      <c r="BD157" s="55"/>
    </row>
    <row r="158" spans="1:56" x14ac:dyDescent="0.5">
      <c r="A158" s="5" t="s">
        <v>77</v>
      </c>
      <c r="B158" s="5"/>
      <c r="C158" s="33"/>
      <c r="D158" s="33"/>
      <c r="E158" s="33"/>
      <c r="F158" s="2">
        <v>5</v>
      </c>
      <c r="G158">
        <v>0</v>
      </c>
      <c r="H158" s="5">
        <v>132</v>
      </c>
      <c r="I158" s="2" t="s">
        <v>211</v>
      </c>
      <c r="J158" s="45"/>
      <c r="K158">
        <v>5201.6099999999997</v>
      </c>
      <c r="L158"/>
      <c r="M158">
        <v>887</v>
      </c>
      <c r="N158" s="46">
        <f t="shared" si="69"/>
        <v>266.10000000000002</v>
      </c>
      <c r="O158" s="46">
        <f t="shared" si="70"/>
        <v>3120.97</v>
      </c>
      <c r="P158" s="46">
        <f t="shared" si="71"/>
        <v>0</v>
      </c>
      <c r="Q158" s="46">
        <f t="shared" si="72"/>
        <v>0</v>
      </c>
      <c r="R158" s="47">
        <f t="shared" si="73"/>
        <v>0.17</v>
      </c>
      <c r="S158" s="47">
        <f t="shared" si="61"/>
        <v>0</v>
      </c>
      <c r="T158" s="46">
        <f t="shared" si="62"/>
        <v>0</v>
      </c>
      <c r="U158" s="46">
        <f t="shared" si="74"/>
        <v>0</v>
      </c>
      <c r="V158">
        <v>457</v>
      </c>
      <c r="W158" s="46">
        <f t="shared" si="75"/>
        <v>114.25</v>
      </c>
      <c r="X158" s="22">
        <f t="shared" si="76"/>
        <v>266.10000000000002</v>
      </c>
      <c r="Y158" s="10">
        <f t="shared" si="77"/>
        <v>5581.96</v>
      </c>
      <c r="Z158" s="72">
        <v>5804257411</v>
      </c>
      <c r="AA158" s="71">
        <v>26820</v>
      </c>
      <c r="AB158" s="22">
        <f t="shared" si="63"/>
        <v>216415.27</v>
      </c>
      <c r="AC158" s="9">
        <f t="shared" si="64"/>
        <v>0.78547699999999998</v>
      </c>
      <c r="AD158" s="71">
        <v>143025</v>
      </c>
      <c r="AE158" s="9">
        <f t="shared" si="65"/>
        <v>0.98400100000000001</v>
      </c>
      <c r="AF158" s="9">
        <f t="shared" si="84"/>
        <v>0.15496599999999999</v>
      </c>
      <c r="AG158" s="49">
        <f t="shared" si="66"/>
        <v>0.15496599999999999</v>
      </c>
      <c r="AH158" s="50">
        <f t="shared" si="67"/>
        <v>0</v>
      </c>
      <c r="AI158" s="51">
        <f t="shared" si="78"/>
        <v>0.15496599999999999</v>
      </c>
      <c r="AJ158">
        <v>0</v>
      </c>
      <c r="AK158">
        <v>0</v>
      </c>
      <c r="AL158" s="21">
        <f t="shared" si="79"/>
        <v>0</v>
      </c>
      <c r="AM158">
        <v>0</v>
      </c>
      <c r="AN158">
        <v>0</v>
      </c>
      <c r="AO158" s="21">
        <f t="shared" si="80"/>
        <v>0</v>
      </c>
      <c r="AP158" s="21">
        <f t="shared" si="68"/>
        <v>9969287</v>
      </c>
      <c r="AQ158" s="21">
        <f t="shared" si="81"/>
        <v>9969287</v>
      </c>
      <c r="AR158" s="48">
        <v>12826469</v>
      </c>
      <c r="AS158" s="48">
        <f t="shared" si="85"/>
        <v>9969287</v>
      </c>
      <c r="AT158" s="71">
        <v>11408078</v>
      </c>
      <c r="AU158" s="21">
        <f t="shared" si="86"/>
        <v>1438791</v>
      </c>
      <c r="AV158" s="52" t="str">
        <f t="shared" ref="AV158:AV195" si="88">IF(AQ158&gt;AT158,"Yes","No")</f>
        <v>No</v>
      </c>
      <c r="AW158" s="48">
        <f t="shared" si="82"/>
        <v>0</v>
      </c>
      <c r="AX158" s="53">
        <f t="shared" si="83"/>
        <v>11408078</v>
      </c>
      <c r="AY158" s="54">
        <f t="shared" si="87"/>
        <v>11408078</v>
      </c>
      <c r="AZ158" s="55"/>
      <c r="BA158" s="55"/>
      <c r="BB158" s="55"/>
      <c r="BC158" s="55"/>
      <c r="BD158" s="55"/>
    </row>
    <row r="159" spans="1:56" x14ac:dyDescent="0.5">
      <c r="A159" s="5" t="s">
        <v>99</v>
      </c>
      <c r="B159" s="5"/>
      <c r="C159" s="33"/>
      <c r="D159" s="33"/>
      <c r="E159" s="33"/>
      <c r="F159" s="2">
        <v>9</v>
      </c>
      <c r="G159">
        <v>38</v>
      </c>
      <c r="H159" s="5">
        <v>133</v>
      </c>
      <c r="I159" s="2" t="s">
        <v>212</v>
      </c>
      <c r="J159" s="45"/>
      <c r="K159">
        <v>363.8</v>
      </c>
      <c r="L159"/>
      <c r="M159">
        <v>204</v>
      </c>
      <c r="N159" s="46">
        <f t="shared" si="69"/>
        <v>61.2</v>
      </c>
      <c r="O159" s="46">
        <f t="shared" si="70"/>
        <v>218.28</v>
      </c>
      <c r="P159" s="46">
        <f t="shared" si="71"/>
        <v>0</v>
      </c>
      <c r="Q159" s="46">
        <f t="shared" si="72"/>
        <v>0</v>
      </c>
      <c r="R159" s="47">
        <f t="shared" si="73"/>
        <v>0.56000000000000005</v>
      </c>
      <c r="S159" s="47">
        <f t="shared" si="61"/>
        <v>0</v>
      </c>
      <c r="T159" s="46">
        <f t="shared" si="62"/>
        <v>0</v>
      </c>
      <c r="U159" s="46">
        <f t="shared" si="74"/>
        <v>0</v>
      </c>
      <c r="V159">
        <v>8</v>
      </c>
      <c r="W159" s="46">
        <f t="shared" si="75"/>
        <v>2</v>
      </c>
      <c r="X159" s="22">
        <f t="shared" si="76"/>
        <v>61.2</v>
      </c>
      <c r="Y159" s="10">
        <f t="shared" si="77"/>
        <v>427</v>
      </c>
      <c r="Z159" s="72">
        <v>377599492.67000002</v>
      </c>
      <c r="AA159" s="71">
        <v>2945</v>
      </c>
      <c r="AB159" s="22">
        <f t="shared" si="63"/>
        <v>128217.15</v>
      </c>
      <c r="AC159" s="9">
        <f t="shared" si="64"/>
        <v>0.46536300000000003</v>
      </c>
      <c r="AD159" s="71">
        <v>89838</v>
      </c>
      <c r="AE159" s="9">
        <f t="shared" si="65"/>
        <v>0.61807900000000005</v>
      </c>
      <c r="AF159" s="9">
        <f t="shared" si="84"/>
        <v>0.48882199999999998</v>
      </c>
      <c r="AG159" s="49">
        <f t="shared" si="66"/>
        <v>0.48882199999999998</v>
      </c>
      <c r="AH159" s="50">
        <f t="shared" si="67"/>
        <v>0</v>
      </c>
      <c r="AI159" s="51">
        <f t="shared" si="78"/>
        <v>0.48882199999999998</v>
      </c>
      <c r="AJ159">
        <v>0</v>
      </c>
      <c r="AK159">
        <v>0</v>
      </c>
      <c r="AL159" s="21">
        <f t="shared" si="79"/>
        <v>0</v>
      </c>
      <c r="AM159">
        <v>70</v>
      </c>
      <c r="AN159">
        <v>4</v>
      </c>
      <c r="AO159" s="21">
        <f t="shared" si="80"/>
        <v>28000</v>
      </c>
      <c r="AP159" s="21">
        <f t="shared" si="68"/>
        <v>2405579</v>
      </c>
      <c r="AQ159" s="21">
        <f t="shared" si="81"/>
        <v>2433579</v>
      </c>
      <c r="AR159" s="48">
        <v>2612273</v>
      </c>
      <c r="AS159" s="48">
        <f t="shared" si="85"/>
        <v>2433579</v>
      </c>
      <c r="AT159" s="71">
        <v>2706745</v>
      </c>
      <c r="AU159" s="21">
        <f t="shared" si="86"/>
        <v>273166</v>
      </c>
      <c r="AV159" s="52" t="str">
        <f t="shared" si="88"/>
        <v>No</v>
      </c>
      <c r="AW159" s="48">
        <f t="shared" si="82"/>
        <v>0</v>
      </c>
      <c r="AX159" s="53">
        <f t="shared" si="83"/>
        <v>2706745</v>
      </c>
      <c r="AY159" s="54">
        <f t="shared" si="87"/>
        <v>2706745</v>
      </c>
      <c r="AZ159" s="55"/>
      <c r="BA159" s="55"/>
      <c r="BB159" s="55"/>
      <c r="BC159" s="55"/>
      <c r="BD159" s="55"/>
    </row>
    <row r="160" spans="1:56" x14ac:dyDescent="0.5">
      <c r="A160" s="5" t="s">
        <v>99</v>
      </c>
      <c r="B160" s="5"/>
      <c r="C160" s="33"/>
      <c r="D160" s="33"/>
      <c r="E160" s="33"/>
      <c r="F160" s="2">
        <v>9</v>
      </c>
      <c r="G160">
        <v>34</v>
      </c>
      <c r="H160" s="5">
        <v>134</v>
      </c>
      <c r="I160" s="2" t="s">
        <v>213</v>
      </c>
      <c r="J160" s="45"/>
      <c r="K160">
        <v>1273.45</v>
      </c>
      <c r="L160"/>
      <c r="M160">
        <v>447</v>
      </c>
      <c r="N160" s="46">
        <f t="shared" si="69"/>
        <v>134.1</v>
      </c>
      <c r="O160" s="46">
        <f t="shared" si="70"/>
        <v>764.07</v>
      </c>
      <c r="P160" s="46">
        <f t="shared" si="71"/>
        <v>0</v>
      </c>
      <c r="Q160" s="46">
        <f t="shared" si="72"/>
        <v>0</v>
      </c>
      <c r="R160" s="47">
        <f t="shared" si="73"/>
        <v>0.35</v>
      </c>
      <c r="S160" s="47">
        <f t="shared" si="61"/>
        <v>0</v>
      </c>
      <c r="T160" s="46">
        <f t="shared" si="62"/>
        <v>0</v>
      </c>
      <c r="U160" s="46">
        <f t="shared" si="74"/>
        <v>0</v>
      </c>
      <c r="V160">
        <v>13</v>
      </c>
      <c r="W160" s="46">
        <f t="shared" si="75"/>
        <v>3.25</v>
      </c>
      <c r="X160" s="22">
        <f t="shared" si="76"/>
        <v>134.1</v>
      </c>
      <c r="Y160" s="10">
        <f t="shared" si="77"/>
        <v>1410.8</v>
      </c>
      <c r="Z160" s="72">
        <v>1703435014.3299999</v>
      </c>
      <c r="AA160" s="71">
        <v>11462</v>
      </c>
      <c r="AB160" s="22">
        <f t="shared" si="63"/>
        <v>148615.85999999999</v>
      </c>
      <c r="AC160" s="9">
        <f t="shared" si="64"/>
        <v>0.53939999999999999</v>
      </c>
      <c r="AD160" s="71">
        <v>97509</v>
      </c>
      <c r="AE160" s="9">
        <f t="shared" si="65"/>
        <v>0.67085399999999995</v>
      </c>
      <c r="AF160" s="9">
        <f t="shared" si="84"/>
        <v>0.42116399999999998</v>
      </c>
      <c r="AG160" s="49">
        <f t="shared" si="66"/>
        <v>0.42116399999999998</v>
      </c>
      <c r="AH160" s="50">
        <f t="shared" si="67"/>
        <v>0</v>
      </c>
      <c r="AI160" s="51">
        <f t="shared" si="78"/>
        <v>0.42116399999999998</v>
      </c>
      <c r="AJ160">
        <v>0</v>
      </c>
      <c r="AK160">
        <v>0</v>
      </c>
      <c r="AL160" s="21">
        <f t="shared" si="79"/>
        <v>0</v>
      </c>
      <c r="AM160">
        <v>0</v>
      </c>
      <c r="AN160">
        <v>0</v>
      </c>
      <c r="AO160" s="21">
        <f t="shared" si="80"/>
        <v>0</v>
      </c>
      <c r="AP160" s="21">
        <f t="shared" si="68"/>
        <v>6847903</v>
      </c>
      <c r="AQ160" s="21">
        <f t="shared" si="81"/>
        <v>6847903</v>
      </c>
      <c r="AR160" s="48">
        <v>9790490</v>
      </c>
      <c r="AS160" s="48">
        <f t="shared" si="85"/>
        <v>6847903</v>
      </c>
      <c r="AT160" s="71">
        <v>9551487</v>
      </c>
      <c r="AU160" s="21">
        <f t="shared" si="86"/>
        <v>2703584</v>
      </c>
      <c r="AV160" s="52" t="str">
        <f t="shared" si="88"/>
        <v>No</v>
      </c>
      <c r="AW160" s="48">
        <f t="shared" si="82"/>
        <v>0</v>
      </c>
      <c r="AX160" s="53">
        <f t="shared" si="83"/>
        <v>9551487</v>
      </c>
      <c r="AY160" s="54">
        <f t="shared" si="87"/>
        <v>9551487</v>
      </c>
      <c r="AZ160" s="55"/>
      <c r="BA160" s="55"/>
      <c r="BB160" s="55"/>
      <c r="BC160" s="55"/>
      <c r="BD160" s="55"/>
    </row>
    <row r="161" spans="1:56" x14ac:dyDescent="0.5">
      <c r="A161" s="5" t="s">
        <v>73</v>
      </c>
      <c r="B161" s="5">
        <v>1</v>
      </c>
      <c r="C161" s="33">
        <v>1</v>
      </c>
      <c r="D161" s="33">
        <v>1</v>
      </c>
      <c r="E161" s="33"/>
      <c r="F161" s="2">
        <v>2</v>
      </c>
      <c r="G161">
        <v>0</v>
      </c>
      <c r="H161" s="5">
        <v>135</v>
      </c>
      <c r="I161" s="2" t="s">
        <v>214</v>
      </c>
      <c r="J161" s="45"/>
      <c r="K161">
        <v>14780.92</v>
      </c>
      <c r="L161"/>
      <c r="M161">
        <v>8043</v>
      </c>
      <c r="N161" s="46">
        <f t="shared" si="69"/>
        <v>2412.9</v>
      </c>
      <c r="O161" s="46">
        <f t="shared" si="70"/>
        <v>8868.5499999999993</v>
      </c>
      <c r="P161" s="46">
        <f t="shared" si="71"/>
        <v>0</v>
      </c>
      <c r="Q161" s="46">
        <f t="shared" si="72"/>
        <v>0</v>
      </c>
      <c r="R161" s="47">
        <f t="shared" si="73"/>
        <v>0.54</v>
      </c>
      <c r="S161" s="47">
        <f t="shared" si="61"/>
        <v>0</v>
      </c>
      <c r="T161" s="46">
        <f t="shared" si="62"/>
        <v>0</v>
      </c>
      <c r="U161" s="46">
        <f t="shared" si="74"/>
        <v>0</v>
      </c>
      <c r="V161">
        <v>2883</v>
      </c>
      <c r="W161" s="46">
        <f t="shared" si="75"/>
        <v>720.75</v>
      </c>
      <c r="X161" s="22">
        <f t="shared" si="76"/>
        <v>2412.9</v>
      </c>
      <c r="Y161" s="10">
        <f t="shared" si="77"/>
        <v>17914.57</v>
      </c>
      <c r="Z161" s="72">
        <v>42852864615.669998</v>
      </c>
      <c r="AA161" s="71">
        <v>135806</v>
      </c>
      <c r="AB161" s="22">
        <f t="shared" si="63"/>
        <v>315544.71000000002</v>
      </c>
      <c r="AC161" s="9">
        <f t="shared" si="64"/>
        <v>1.1452659999999999</v>
      </c>
      <c r="AD161" s="71">
        <v>107474</v>
      </c>
      <c r="AE161" s="9">
        <f t="shared" si="65"/>
        <v>0.73941299999999999</v>
      </c>
      <c r="AF161" s="9">
        <f t="shared" si="84"/>
        <v>-2.351E-2</v>
      </c>
      <c r="AG161" s="49">
        <f t="shared" si="66"/>
        <v>0.1</v>
      </c>
      <c r="AH161" s="50">
        <f t="shared" si="67"/>
        <v>0</v>
      </c>
      <c r="AI161" s="51">
        <f t="shared" si="78"/>
        <v>0.1</v>
      </c>
      <c r="AJ161">
        <v>0</v>
      </c>
      <c r="AK161">
        <v>0</v>
      </c>
      <c r="AL161" s="21">
        <f t="shared" si="79"/>
        <v>0</v>
      </c>
      <c r="AM161">
        <v>0</v>
      </c>
      <c r="AN161">
        <v>0</v>
      </c>
      <c r="AO161" s="21">
        <f t="shared" si="80"/>
        <v>0</v>
      </c>
      <c r="AP161" s="21">
        <f t="shared" si="68"/>
        <v>20646542</v>
      </c>
      <c r="AQ161" s="21">
        <f t="shared" si="81"/>
        <v>20646542</v>
      </c>
      <c r="AR161" s="48">
        <v>10803759</v>
      </c>
      <c r="AS161" s="48">
        <f t="shared" si="85"/>
        <v>22003161</v>
      </c>
      <c r="AT161" s="71">
        <v>22003161</v>
      </c>
      <c r="AU161" s="21">
        <f t="shared" si="86"/>
        <v>1356619</v>
      </c>
      <c r="AV161" s="52" t="str">
        <f t="shared" si="88"/>
        <v>No</v>
      </c>
      <c r="AW161" s="48">
        <f t="shared" si="82"/>
        <v>0</v>
      </c>
      <c r="AX161" s="53">
        <f t="shared" si="83"/>
        <v>22003161</v>
      </c>
      <c r="AY161" s="54">
        <f t="shared" si="87"/>
        <v>22003161</v>
      </c>
      <c r="AZ161" s="55"/>
      <c r="BA161" s="55"/>
      <c r="BB161" s="55"/>
      <c r="BC161" s="55"/>
      <c r="BD161" s="55"/>
    </row>
    <row r="162" spans="1:56" x14ac:dyDescent="0.5">
      <c r="A162" s="5" t="s">
        <v>99</v>
      </c>
      <c r="B162" s="5"/>
      <c r="C162" s="33"/>
      <c r="D162" s="33"/>
      <c r="E162" s="33"/>
      <c r="F162" s="2">
        <v>9</v>
      </c>
      <c r="G162">
        <v>24</v>
      </c>
      <c r="H162" s="5">
        <v>136</v>
      </c>
      <c r="I162" s="2" t="s">
        <v>215</v>
      </c>
      <c r="J162" s="45"/>
      <c r="K162">
        <v>401</v>
      </c>
      <c r="L162"/>
      <c r="M162">
        <v>157</v>
      </c>
      <c r="N162" s="46">
        <f t="shared" si="69"/>
        <v>47.1</v>
      </c>
      <c r="O162" s="46">
        <f t="shared" si="70"/>
        <v>240.6</v>
      </c>
      <c r="P162" s="46">
        <f t="shared" si="71"/>
        <v>0</v>
      </c>
      <c r="Q162" s="46">
        <f t="shared" si="72"/>
        <v>0</v>
      </c>
      <c r="R162" s="47">
        <f t="shared" si="73"/>
        <v>0.39</v>
      </c>
      <c r="S162" s="47">
        <f t="shared" si="61"/>
        <v>0</v>
      </c>
      <c r="T162" s="46">
        <f t="shared" si="62"/>
        <v>0</v>
      </c>
      <c r="U162" s="46">
        <f t="shared" si="74"/>
        <v>0</v>
      </c>
      <c r="V162">
        <v>1</v>
      </c>
      <c r="W162" s="46">
        <f t="shared" si="75"/>
        <v>0.25</v>
      </c>
      <c r="X162" s="22">
        <f t="shared" si="76"/>
        <v>47.1</v>
      </c>
      <c r="Y162" s="10">
        <f t="shared" si="77"/>
        <v>448.35</v>
      </c>
      <c r="Z162" s="72">
        <v>563850793.33000004</v>
      </c>
      <c r="AA162" s="71">
        <v>3601</v>
      </c>
      <c r="AB162" s="22">
        <f t="shared" si="63"/>
        <v>156581.73000000001</v>
      </c>
      <c r="AC162" s="9">
        <f t="shared" si="64"/>
        <v>0.56831200000000004</v>
      </c>
      <c r="AD162" s="71">
        <v>89167</v>
      </c>
      <c r="AE162" s="9">
        <f t="shared" si="65"/>
        <v>0.61346199999999995</v>
      </c>
      <c r="AF162" s="9">
        <f t="shared" si="84"/>
        <v>0.41814299999999999</v>
      </c>
      <c r="AG162" s="49">
        <f t="shared" si="66"/>
        <v>0.41814299999999999</v>
      </c>
      <c r="AH162" s="50">
        <f t="shared" si="67"/>
        <v>0</v>
      </c>
      <c r="AI162" s="51">
        <f t="shared" si="78"/>
        <v>0.41814299999999999</v>
      </c>
      <c r="AJ162">
        <v>0</v>
      </c>
      <c r="AK162">
        <v>0</v>
      </c>
      <c r="AL162" s="21">
        <f t="shared" si="79"/>
        <v>0</v>
      </c>
      <c r="AM162">
        <v>0</v>
      </c>
      <c r="AN162">
        <v>0</v>
      </c>
      <c r="AO162" s="21">
        <f t="shared" si="80"/>
        <v>0</v>
      </c>
      <c r="AP162" s="21">
        <f t="shared" si="68"/>
        <v>2160643</v>
      </c>
      <c r="AQ162" s="21">
        <f t="shared" si="81"/>
        <v>2160643</v>
      </c>
      <c r="AR162" s="48">
        <v>3196216</v>
      </c>
      <c r="AS162" s="48">
        <f t="shared" si="85"/>
        <v>2160643</v>
      </c>
      <c r="AT162" s="71">
        <v>3174585</v>
      </c>
      <c r="AU162" s="21">
        <f t="shared" si="86"/>
        <v>1013942</v>
      </c>
      <c r="AV162" s="52" t="str">
        <f t="shared" si="88"/>
        <v>No</v>
      </c>
      <c r="AW162" s="48">
        <f t="shared" si="82"/>
        <v>0</v>
      </c>
      <c r="AX162" s="53">
        <f t="shared" si="83"/>
        <v>3174585</v>
      </c>
      <c r="AY162" s="54">
        <f t="shared" si="87"/>
        <v>3174585</v>
      </c>
      <c r="AZ162" s="55"/>
      <c r="BA162" s="55"/>
      <c r="BB162" s="55"/>
      <c r="BC162" s="55"/>
      <c r="BD162" s="55"/>
    </row>
    <row r="163" spans="1:56" x14ac:dyDescent="0.5">
      <c r="A163" s="5" t="s">
        <v>81</v>
      </c>
      <c r="B163" s="5"/>
      <c r="C163" s="33"/>
      <c r="D163" s="33"/>
      <c r="E163" s="33"/>
      <c r="F163" s="2">
        <v>3</v>
      </c>
      <c r="G163">
        <v>0</v>
      </c>
      <c r="H163" s="5">
        <v>137</v>
      </c>
      <c r="I163" s="2" t="s">
        <v>216</v>
      </c>
      <c r="J163" s="45"/>
      <c r="K163">
        <v>1685.88</v>
      </c>
      <c r="L163"/>
      <c r="M163">
        <v>394</v>
      </c>
      <c r="N163" s="46">
        <f t="shared" si="69"/>
        <v>118.2</v>
      </c>
      <c r="O163" s="46">
        <f t="shared" si="70"/>
        <v>1011.53</v>
      </c>
      <c r="P163" s="46">
        <f t="shared" si="71"/>
        <v>0</v>
      </c>
      <c r="Q163" s="46">
        <f t="shared" si="72"/>
        <v>0</v>
      </c>
      <c r="R163" s="47">
        <f t="shared" si="73"/>
        <v>0.23</v>
      </c>
      <c r="S163" s="47">
        <f t="shared" si="61"/>
        <v>0</v>
      </c>
      <c r="T163" s="46">
        <f t="shared" si="62"/>
        <v>0</v>
      </c>
      <c r="U163" s="46">
        <f t="shared" si="74"/>
        <v>0</v>
      </c>
      <c r="V163">
        <v>24</v>
      </c>
      <c r="W163" s="46">
        <f t="shared" si="75"/>
        <v>6</v>
      </c>
      <c r="X163" s="22">
        <f t="shared" si="76"/>
        <v>118.2</v>
      </c>
      <c r="Y163" s="10">
        <f t="shared" si="77"/>
        <v>1810.0800000000002</v>
      </c>
      <c r="Z163" s="72">
        <v>6296487361.6700001</v>
      </c>
      <c r="AA163" s="71">
        <v>18381</v>
      </c>
      <c r="AB163" s="22">
        <f t="shared" si="63"/>
        <v>342554.12</v>
      </c>
      <c r="AC163" s="9">
        <f t="shared" si="64"/>
        <v>1.243296</v>
      </c>
      <c r="AD163" s="71">
        <v>108922</v>
      </c>
      <c r="AE163" s="9">
        <f t="shared" si="65"/>
        <v>0.74937500000000001</v>
      </c>
      <c r="AF163" s="9">
        <f t="shared" si="84"/>
        <v>-9.5119999999999996E-2</v>
      </c>
      <c r="AG163" s="49">
        <f t="shared" si="66"/>
        <v>0.01</v>
      </c>
      <c r="AH163" s="50">
        <f t="shared" si="67"/>
        <v>0</v>
      </c>
      <c r="AI163" s="51">
        <f t="shared" si="78"/>
        <v>0.01</v>
      </c>
      <c r="AJ163">
        <v>0</v>
      </c>
      <c r="AK163">
        <v>0</v>
      </c>
      <c r="AL163" s="21">
        <f t="shared" si="79"/>
        <v>0</v>
      </c>
      <c r="AM163">
        <v>0</v>
      </c>
      <c r="AN163">
        <v>0</v>
      </c>
      <c r="AO163" s="21">
        <f t="shared" si="80"/>
        <v>0</v>
      </c>
      <c r="AP163" s="21">
        <f t="shared" si="68"/>
        <v>208612</v>
      </c>
      <c r="AQ163" s="21">
        <f t="shared" si="81"/>
        <v>208612</v>
      </c>
      <c r="AR163" s="48">
        <v>1649159</v>
      </c>
      <c r="AS163" s="48">
        <f t="shared" si="85"/>
        <v>208612</v>
      </c>
      <c r="AT163" s="71">
        <v>1073011</v>
      </c>
      <c r="AU163" s="21">
        <f t="shared" si="86"/>
        <v>864399</v>
      </c>
      <c r="AV163" s="52" t="str">
        <f t="shared" si="88"/>
        <v>No</v>
      </c>
      <c r="AW163" s="48">
        <f t="shared" si="82"/>
        <v>0</v>
      </c>
      <c r="AX163" s="53">
        <f t="shared" si="83"/>
        <v>1073011</v>
      </c>
      <c r="AY163" s="54">
        <f t="shared" si="87"/>
        <v>1073011</v>
      </c>
      <c r="AZ163" s="55"/>
      <c r="BA163" s="55"/>
      <c r="BB163" s="55"/>
      <c r="BC163" s="55"/>
      <c r="BD163" s="55"/>
    </row>
    <row r="164" spans="1:56" x14ac:dyDescent="0.5">
      <c r="A164" s="5" t="s">
        <v>86</v>
      </c>
      <c r="B164" s="5"/>
      <c r="C164" s="57">
        <v>1</v>
      </c>
      <c r="D164" s="57">
        <v>1</v>
      </c>
      <c r="E164" s="33"/>
      <c r="F164" s="2">
        <v>8</v>
      </c>
      <c r="G164">
        <v>27</v>
      </c>
      <c r="H164" s="5">
        <v>138</v>
      </c>
      <c r="I164" s="2" t="s">
        <v>217</v>
      </c>
      <c r="J164" s="45"/>
      <c r="K164">
        <v>6652.05</v>
      </c>
      <c r="L164"/>
      <c r="M164">
        <v>3369</v>
      </c>
      <c r="N164" s="46">
        <f t="shared" si="69"/>
        <v>1010.7</v>
      </c>
      <c r="O164" s="46">
        <f t="shared" si="70"/>
        <v>3991.23</v>
      </c>
      <c r="P164" s="46">
        <f t="shared" si="71"/>
        <v>0</v>
      </c>
      <c r="Q164" s="46">
        <f t="shared" si="72"/>
        <v>0</v>
      </c>
      <c r="R164" s="47">
        <f t="shared" si="73"/>
        <v>0.51</v>
      </c>
      <c r="S164" s="47">
        <f t="shared" si="61"/>
        <v>0</v>
      </c>
      <c r="T164" s="46">
        <f t="shared" si="62"/>
        <v>0</v>
      </c>
      <c r="U164" s="46">
        <f t="shared" si="74"/>
        <v>0</v>
      </c>
      <c r="V164">
        <v>767</v>
      </c>
      <c r="W164" s="46">
        <f t="shared" si="75"/>
        <v>191.75</v>
      </c>
      <c r="X164" s="22">
        <f t="shared" si="76"/>
        <v>1010.7</v>
      </c>
      <c r="Y164" s="10">
        <f t="shared" si="77"/>
        <v>7854.5</v>
      </c>
      <c r="Z164" s="72">
        <v>10326347196</v>
      </c>
      <c r="AA164" s="71">
        <v>52403</v>
      </c>
      <c r="AB164" s="22">
        <f t="shared" si="63"/>
        <v>197056.41</v>
      </c>
      <c r="AC164" s="9">
        <f t="shared" si="64"/>
        <v>0.71521400000000002</v>
      </c>
      <c r="AD164" s="71">
        <v>93820</v>
      </c>
      <c r="AE164" s="9">
        <f t="shared" si="65"/>
        <v>0.64547399999999999</v>
      </c>
      <c r="AF164" s="9">
        <f t="shared" si="84"/>
        <v>0.30570799999999998</v>
      </c>
      <c r="AG164" s="49">
        <f t="shared" si="66"/>
        <v>0.30570799999999998</v>
      </c>
      <c r="AH164" s="50">
        <f t="shared" si="67"/>
        <v>0</v>
      </c>
      <c r="AI164" s="51">
        <f t="shared" si="78"/>
        <v>0.30570799999999998</v>
      </c>
      <c r="AJ164">
        <v>0</v>
      </c>
      <c r="AK164">
        <v>0</v>
      </c>
      <c r="AL164" s="21">
        <f t="shared" si="79"/>
        <v>0</v>
      </c>
      <c r="AM164">
        <v>0</v>
      </c>
      <c r="AN164">
        <v>0</v>
      </c>
      <c r="AO164" s="21">
        <f t="shared" si="80"/>
        <v>0</v>
      </c>
      <c r="AP164" s="21">
        <f t="shared" si="68"/>
        <v>27673640</v>
      </c>
      <c r="AQ164" s="21">
        <f t="shared" si="81"/>
        <v>27673640</v>
      </c>
      <c r="AR164" s="48">
        <v>21461782</v>
      </c>
      <c r="AS164" s="48">
        <f t="shared" si="85"/>
        <v>30304368</v>
      </c>
      <c r="AT164" s="71">
        <v>30304368</v>
      </c>
      <c r="AU164" s="21">
        <f t="shared" si="86"/>
        <v>2630728</v>
      </c>
      <c r="AV164" s="52" t="str">
        <f t="shared" si="88"/>
        <v>No</v>
      </c>
      <c r="AW164" s="48">
        <f t="shared" si="82"/>
        <v>0</v>
      </c>
      <c r="AX164" s="53">
        <f t="shared" si="83"/>
        <v>30304368</v>
      </c>
      <c r="AY164" s="54">
        <f t="shared" si="87"/>
        <v>30304368</v>
      </c>
      <c r="AZ164" s="55"/>
      <c r="BA164" s="55"/>
      <c r="BB164" s="55"/>
      <c r="BC164" s="55"/>
      <c r="BD164" s="55"/>
    </row>
    <row r="165" spans="1:56" x14ac:dyDescent="0.5">
      <c r="A165" s="5" t="s">
        <v>71</v>
      </c>
      <c r="B165" s="5"/>
      <c r="C165" s="33"/>
      <c r="D165" s="33"/>
      <c r="E165" s="33"/>
      <c r="F165" s="2">
        <v>5</v>
      </c>
      <c r="G165">
        <v>0</v>
      </c>
      <c r="H165" s="5">
        <v>139</v>
      </c>
      <c r="I165" s="2" t="s">
        <v>218</v>
      </c>
      <c r="J165" s="45"/>
      <c r="K165">
        <v>1904.85</v>
      </c>
      <c r="L165"/>
      <c r="M165">
        <v>313</v>
      </c>
      <c r="N165" s="46">
        <f t="shared" si="69"/>
        <v>93.9</v>
      </c>
      <c r="O165" s="46">
        <f t="shared" si="70"/>
        <v>1142.9100000000001</v>
      </c>
      <c r="P165" s="46">
        <f t="shared" si="71"/>
        <v>0</v>
      </c>
      <c r="Q165" s="46">
        <f t="shared" si="72"/>
        <v>0</v>
      </c>
      <c r="R165" s="47">
        <f t="shared" si="73"/>
        <v>0.16</v>
      </c>
      <c r="S165" s="47">
        <f t="shared" si="61"/>
        <v>0</v>
      </c>
      <c r="T165" s="46">
        <f t="shared" si="62"/>
        <v>0</v>
      </c>
      <c r="U165" s="46">
        <f t="shared" si="74"/>
        <v>0</v>
      </c>
      <c r="V165">
        <v>42</v>
      </c>
      <c r="W165" s="46">
        <f t="shared" si="75"/>
        <v>10.5</v>
      </c>
      <c r="X165" s="22">
        <f t="shared" si="76"/>
        <v>93.9</v>
      </c>
      <c r="Y165" s="10">
        <f t="shared" si="77"/>
        <v>2009.25</v>
      </c>
      <c r="Z165" s="72">
        <v>2955799556.6700001</v>
      </c>
      <c r="AA165" s="71">
        <v>15636</v>
      </c>
      <c r="AB165" s="22">
        <f t="shared" si="63"/>
        <v>189038.09</v>
      </c>
      <c r="AC165" s="9">
        <f t="shared" si="64"/>
        <v>0.68611200000000006</v>
      </c>
      <c r="AD165" s="71">
        <v>125352</v>
      </c>
      <c r="AE165" s="9">
        <f t="shared" si="65"/>
        <v>0.86241199999999996</v>
      </c>
      <c r="AF165" s="9">
        <f t="shared" si="84"/>
        <v>0.26099800000000001</v>
      </c>
      <c r="AG165" s="49">
        <f t="shared" si="66"/>
        <v>0.26099800000000001</v>
      </c>
      <c r="AH165" s="50">
        <f t="shared" si="67"/>
        <v>0</v>
      </c>
      <c r="AI165" s="51">
        <f t="shared" si="78"/>
        <v>0.26099800000000001</v>
      </c>
      <c r="AJ165">
        <v>0</v>
      </c>
      <c r="AK165">
        <v>0</v>
      </c>
      <c r="AL165" s="21">
        <f t="shared" si="79"/>
        <v>0</v>
      </c>
      <c r="AM165">
        <v>0</v>
      </c>
      <c r="AN165">
        <v>0</v>
      </c>
      <c r="AO165" s="21">
        <f t="shared" si="80"/>
        <v>0</v>
      </c>
      <c r="AP165" s="21">
        <f t="shared" si="68"/>
        <v>6043828</v>
      </c>
      <c r="AQ165" s="21">
        <f t="shared" si="81"/>
        <v>6043828</v>
      </c>
      <c r="AR165" s="48">
        <v>6221145</v>
      </c>
      <c r="AS165" s="48">
        <f t="shared" si="85"/>
        <v>6043828</v>
      </c>
      <c r="AT165" s="71">
        <v>6163712</v>
      </c>
      <c r="AU165" s="21">
        <f t="shared" si="86"/>
        <v>119884</v>
      </c>
      <c r="AV165" s="52" t="str">
        <f t="shared" si="88"/>
        <v>No</v>
      </c>
      <c r="AW165" s="48">
        <f t="shared" si="82"/>
        <v>0</v>
      </c>
      <c r="AX165" s="53">
        <f t="shared" si="83"/>
        <v>6163712</v>
      </c>
      <c r="AY165" s="54">
        <f t="shared" si="87"/>
        <v>6163712</v>
      </c>
      <c r="AZ165" s="55"/>
      <c r="BA165" s="55"/>
      <c r="BB165" s="55"/>
      <c r="BC165" s="55"/>
      <c r="BD165" s="55"/>
    </row>
    <row r="166" spans="1:56" x14ac:dyDescent="0.5">
      <c r="A166" s="5" t="s">
        <v>75</v>
      </c>
      <c r="B166" s="5"/>
      <c r="C166" s="33"/>
      <c r="D166" s="33"/>
      <c r="E166" s="33"/>
      <c r="F166" s="2">
        <v>9</v>
      </c>
      <c r="G166">
        <v>0</v>
      </c>
      <c r="H166" s="5">
        <v>140</v>
      </c>
      <c r="I166" s="2" t="s">
        <v>219</v>
      </c>
      <c r="J166" s="45"/>
      <c r="K166">
        <v>844.21</v>
      </c>
      <c r="L166"/>
      <c r="M166">
        <v>287</v>
      </c>
      <c r="N166" s="46">
        <f t="shared" si="69"/>
        <v>86.1</v>
      </c>
      <c r="O166" s="46">
        <f t="shared" si="70"/>
        <v>506.53</v>
      </c>
      <c r="P166" s="46">
        <f t="shared" si="71"/>
        <v>0</v>
      </c>
      <c r="Q166" s="46">
        <f t="shared" si="72"/>
        <v>0</v>
      </c>
      <c r="R166" s="47">
        <f t="shared" si="73"/>
        <v>0.34</v>
      </c>
      <c r="S166" s="47">
        <f t="shared" si="61"/>
        <v>0</v>
      </c>
      <c r="T166" s="46">
        <f t="shared" si="62"/>
        <v>0</v>
      </c>
      <c r="U166" s="46">
        <f t="shared" si="74"/>
        <v>0</v>
      </c>
      <c r="V166">
        <v>14</v>
      </c>
      <c r="W166" s="46">
        <f t="shared" si="75"/>
        <v>3.5</v>
      </c>
      <c r="X166" s="22">
        <f t="shared" si="76"/>
        <v>86.1</v>
      </c>
      <c r="Y166" s="10">
        <f t="shared" si="77"/>
        <v>933.81000000000006</v>
      </c>
      <c r="Z166" s="72">
        <v>1206687948.6700001</v>
      </c>
      <c r="AA166" s="71">
        <v>7476</v>
      </c>
      <c r="AB166" s="22">
        <f t="shared" si="63"/>
        <v>161408.23000000001</v>
      </c>
      <c r="AC166" s="9">
        <f t="shared" si="64"/>
        <v>0.58582900000000004</v>
      </c>
      <c r="AD166" s="71">
        <v>104074</v>
      </c>
      <c r="AE166" s="9">
        <f t="shared" si="65"/>
        <v>0.71602100000000002</v>
      </c>
      <c r="AF166" s="9">
        <f t="shared" si="84"/>
        <v>0.37511299999999997</v>
      </c>
      <c r="AG166" s="49">
        <f t="shared" si="66"/>
        <v>0.37511299999999997</v>
      </c>
      <c r="AH166" s="50">
        <f t="shared" si="67"/>
        <v>0</v>
      </c>
      <c r="AI166" s="51">
        <f t="shared" si="78"/>
        <v>0.37511299999999997</v>
      </c>
      <c r="AJ166">
        <v>0</v>
      </c>
      <c r="AK166">
        <v>0</v>
      </c>
      <c r="AL166" s="21">
        <f t="shared" si="79"/>
        <v>0</v>
      </c>
      <c r="AM166">
        <v>0</v>
      </c>
      <c r="AN166">
        <v>0</v>
      </c>
      <c r="AO166" s="21">
        <f t="shared" si="80"/>
        <v>0</v>
      </c>
      <c r="AP166" s="21">
        <f t="shared" si="68"/>
        <v>4037026</v>
      </c>
      <c r="AQ166" s="21">
        <f t="shared" si="81"/>
        <v>4037026</v>
      </c>
      <c r="AR166" s="48">
        <v>5624815</v>
      </c>
      <c r="AS166" s="48">
        <f t="shared" si="85"/>
        <v>4037026</v>
      </c>
      <c r="AT166" s="71">
        <v>5481226</v>
      </c>
      <c r="AU166" s="21">
        <f t="shared" si="86"/>
        <v>1444200</v>
      </c>
      <c r="AV166" s="52" t="str">
        <f t="shared" si="88"/>
        <v>No</v>
      </c>
      <c r="AW166" s="48">
        <f t="shared" si="82"/>
        <v>0</v>
      </c>
      <c r="AX166" s="53">
        <f t="shared" si="83"/>
        <v>5481226</v>
      </c>
      <c r="AY166" s="54">
        <f t="shared" si="87"/>
        <v>5481226</v>
      </c>
      <c r="AZ166" s="55"/>
      <c r="BA166" s="55"/>
      <c r="BB166" s="55"/>
      <c r="BC166" s="55"/>
      <c r="BD166" s="55"/>
    </row>
    <row r="167" spans="1:56" x14ac:dyDescent="0.5">
      <c r="A167" s="5" t="s">
        <v>99</v>
      </c>
      <c r="B167" s="5"/>
      <c r="C167" s="33">
        <v>1</v>
      </c>
      <c r="D167" s="33">
        <v>0</v>
      </c>
      <c r="E167" s="33">
        <v>1</v>
      </c>
      <c r="F167" s="2">
        <v>9</v>
      </c>
      <c r="G167">
        <v>0</v>
      </c>
      <c r="H167" s="5">
        <v>141</v>
      </c>
      <c r="I167" s="2" t="s">
        <v>220</v>
      </c>
      <c r="J167" s="45"/>
      <c r="K167">
        <v>797.68</v>
      </c>
      <c r="L167"/>
      <c r="M167">
        <v>382</v>
      </c>
      <c r="N167" s="46">
        <f t="shared" si="69"/>
        <v>114.6</v>
      </c>
      <c r="O167" s="46">
        <f t="shared" si="70"/>
        <v>478.61</v>
      </c>
      <c r="P167" s="46">
        <f t="shared" si="71"/>
        <v>0</v>
      </c>
      <c r="Q167" s="46">
        <f t="shared" si="72"/>
        <v>0</v>
      </c>
      <c r="R167" s="47">
        <f t="shared" si="73"/>
        <v>0.48</v>
      </c>
      <c r="S167" s="47">
        <f t="shared" si="61"/>
        <v>0</v>
      </c>
      <c r="T167" s="46">
        <f t="shared" si="62"/>
        <v>0</v>
      </c>
      <c r="U167" s="46">
        <f t="shared" si="74"/>
        <v>0</v>
      </c>
      <c r="V167">
        <v>21</v>
      </c>
      <c r="W167" s="46">
        <f t="shared" si="75"/>
        <v>5.25</v>
      </c>
      <c r="X167" s="22">
        <f t="shared" si="76"/>
        <v>114.6</v>
      </c>
      <c r="Y167" s="10">
        <f t="shared" si="77"/>
        <v>917.53</v>
      </c>
      <c r="Z167" s="72">
        <v>1590747210.6700001</v>
      </c>
      <c r="AA167" s="71">
        <v>9275</v>
      </c>
      <c r="AB167" s="22">
        <f t="shared" si="63"/>
        <v>171509.13</v>
      </c>
      <c r="AC167" s="9">
        <f t="shared" si="64"/>
        <v>0.62249100000000002</v>
      </c>
      <c r="AD167" s="71">
        <v>88421</v>
      </c>
      <c r="AE167" s="9">
        <f t="shared" si="65"/>
        <v>0.60833000000000004</v>
      </c>
      <c r="AF167" s="9">
        <f t="shared" si="84"/>
        <v>0.38175700000000001</v>
      </c>
      <c r="AG167" s="49">
        <f t="shared" si="66"/>
        <v>0.38175700000000001</v>
      </c>
      <c r="AH167" s="50">
        <f t="shared" si="67"/>
        <v>0</v>
      </c>
      <c r="AI167" s="51">
        <f t="shared" si="78"/>
        <v>0.38175700000000001</v>
      </c>
      <c r="AJ167">
        <v>0</v>
      </c>
      <c r="AK167">
        <v>0</v>
      </c>
      <c r="AL167" s="21">
        <f t="shared" si="79"/>
        <v>0</v>
      </c>
      <c r="AM167">
        <v>0</v>
      </c>
      <c r="AN167">
        <v>0</v>
      </c>
      <c r="AO167" s="21">
        <f t="shared" si="80"/>
        <v>0</v>
      </c>
      <c r="AP167" s="21">
        <f t="shared" si="68"/>
        <v>4036902</v>
      </c>
      <c r="AQ167" s="21">
        <f t="shared" si="81"/>
        <v>4036902</v>
      </c>
      <c r="AR167" s="48">
        <v>7534704</v>
      </c>
      <c r="AS167" s="48">
        <f t="shared" si="85"/>
        <v>7534704</v>
      </c>
      <c r="AT167" s="71">
        <v>7534704</v>
      </c>
      <c r="AU167" s="21">
        <f t="shared" si="86"/>
        <v>3497802</v>
      </c>
      <c r="AV167" s="52" t="str">
        <f t="shared" si="88"/>
        <v>No</v>
      </c>
      <c r="AW167" s="48">
        <f t="shared" si="82"/>
        <v>0</v>
      </c>
      <c r="AX167" s="53">
        <f t="shared" si="83"/>
        <v>7534704</v>
      </c>
      <c r="AY167" s="54">
        <f t="shared" si="87"/>
        <v>7534704</v>
      </c>
      <c r="AZ167" s="55"/>
      <c r="BA167" s="55"/>
      <c r="BB167" s="55"/>
      <c r="BC167" s="55"/>
      <c r="BD167" s="55"/>
    </row>
    <row r="168" spans="1:56" x14ac:dyDescent="0.5">
      <c r="A168" s="5" t="s">
        <v>71</v>
      </c>
      <c r="B168" s="5"/>
      <c r="C168" s="33"/>
      <c r="D168" s="33"/>
      <c r="E168" s="33"/>
      <c r="F168" s="2">
        <v>5</v>
      </c>
      <c r="G168">
        <v>0</v>
      </c>
      <c r="H168" s="5">
        <v>142</v>
      </c>
      <c r="I168" s="2" t="s">
        <v>221</v>
      </c>
      <c r="J168" s="45"/>
      <c r="K168">
        <v>2142.15</v>
      </c>
      <c r="L168"/>
      <c r="M168">
        <v>361</v>
      </c>
      <c r="N168" s="46">
        <f t="shared" si="69"/>
        <v>108.3</v>
      </c>
      <c r="O168" s="46">
        <f t="shared" si="70"/>
        <v>1285.29</v>
      </c>
      <c r="P168" s="46">
        <f t="shared" si="71"/>
        <v>0</v>
      </c>
      <c r="Q168" s="46">
        <f t="shared" si="72"/>
        <v>0</v>
      </c>
      <c r="R168" s="47">
        <f t="shared" si="73"/>
        <v>0.17</v>
      </c>
      <c r="S168" s="47">
        <f t="shared" si="61"/>
        <v>0</v>
      </c>
      <c r="T168" s="46">
        <f t="shared" si="62"/>
        <v>0</v>
      </c>
      <c r="U168" s="46">
        <f t="shared" si="74"/>
        <v>0</v>
      </c>
      <c r="V168">
        <v>27</v>
      </c>
      <c r="W168" s="46">
        <f t="shared" si="75"/>
        <v>6.75</v>
      </c>
      <c r="X168" s="22">
        <f t="shared" si="76"/>
        <v>108.3</v>
      </c>
      <c r="Y168" s="10">
        <f t="shared" si="77"/>
        <v>2257.2000000000003</v>
      </c>
      <c r="Z168" s="72">
        <v>2604659105</v>
      </c>
      <c r="AA168" s="71">
        <v>14556</v>
      </c>
      <c r="AB168" s="22">
        <f t="shared" si="63"/>
        <v>178940.58</v>
      </c>
      <c r="AC168" s="9">
        <f t="shared" si="64"/>
        <v>0.64946300000000001</v>
      </c>
      <c r="AD168" s="71">
        <v>132500</v>
      </c>
      <c r="AE168" s="9">
        <f t="shared" si="65"/>
        <v>0.91159000000000001</v>
      </c>
      <c r="AF168" s="9">
        <f t="shared" si="84"/>
        <v>0.271899</v>
      </c>
      <c r="AG168" s="49">
        <f t="shared" si="66"/>
        <v>0.271899</v>
      </c>
      <c r="AH168" s="50">
        <f t="shared" si="67"/>
        <v>0</v>
      </c>
      <c r="AI168" s="51">
        <f t="shared" si="78"/>
        <v>0.271899</v>
      </c>
      <c r="AJ168">
        <v>0</v>
      </c>
      <c r="AK168">
        <v>0</v>
      </c>
      <c r="AL168" s="21">
        <f t="shared" si="79"/>
        <v>0</v>
      </c>
      <c r="AM168">
        <v>0</v>
      </c>
      <c r="AN168">
        <v>0</v>
      </c>
      <c r="AO168" s="21">
        <f t="shared" si="80"/>
        <v>0</v>
      </c>
      <c r="AP168" s="21">
        <f t="shared" si="68"/>
        <v>7073243</v>
      </c>
      <c r="AQ168" s="21">
        <f t="shared" si="81"/>
        <v>7073243</v>
      </c>
      <c r="AR168" s="48">
        <v>10699177</v>
      </c>
      <c r="AS168" s="48">
        <f t="shared" si="85"/>
        <v>7073243</v>
      </c>
      <c r="AT168" s="71">
        <v>9105528</v>
      </c>
      <c r="AU168" s="21">
        <f t="shared" si="86"/>
        <v>2032285</v>
      </c>
      <c r="AV168" s="52" t="str">
        <f t="shared" si="88"/>
        <v>No</v>
      </c>
      <c r="AW168" s="48">
        <f t="shared" si="82"/>
        <v>0</v>
      </c>
      <c r="AX168" s="53">
        <f t="shared" si="83"/>
        <v>9105528</v>
      </c>
      <c r="AY168" s="54">
        <f t="shared" si="87"/>
        <v>9105528</v>
      </c>
      <c r="AZ168" s="55"/>
      <c r="BA168" s="55"/>
      <c r="BB168" s="55"/>
      <c r="BC168" s="55"/>
      <c r="BD168" s="55"/>
    </row>
    <row r="169" spans="1:56" x14ac:dyDescent="0.5">
      <c r="A169" s="5" t="s">
        <v>86</v>
      </c>
      <c r="B169" s="5"/>
      <c r="C169" s="33">
        <v>1</v>
      </c>
      <c r="D169" s="33">
        <v>1</v>
      </c>
      <c r="E169" s="33"/>
      <c r="F169" s="2">
        <v>10</v>
      </c>
      <c r="G169">
        <v>15</v>
      </c>
      <c r="H169" s="5">
        <v>143</v>
      </c>
      <c r="I169" s="2" t="s">
        <v>222</v>
      </c>
      <c r="J169" s="45"/>
      <c r="K169">
        <v>4121.2299999999996</v>
      </c>
      <c r="L169"/>
      <c r="M169">
        <v>2635</v>
      </c>
      <c r="N169" s="46">
        <f t="shared" si="69"/>
        <v>790.5</v>
      </c>
      <c r="O169" s="46">
        <f t="shared" si="70"/>
        <v>2472.7399999999998</v>
      </c>
      <c r="P169" s="46">
        <f t="shared" si="71"/>
        <v>162.26000000000022</v>
      </c>
      <c r="Q169" s="46">
        <f t="shared" si="72"/>
        <v>24.34</v>
      </c>
      <c r="R169" s="47">
        <f t="shared" si="73"/>
        <v>0.64</v>
      </c>
      <c r="S169" s="47">
        <f t="shared" si="61"/>
        <v>4.0000000000000036E-2</v>
      </c>
      <c r="T169" s="46">
        <f t="shared" si="62"/>
        <v>164.85</v>
      </c>
      <c r="U169" s="46">
        <f t="shared" si="74"/>
        <v>24.73</v>
      </c>
      <c r="V169">
        <v>660</v>
      </c>
      <c r="W169" s="46">
        <f t="shared" si="75"/>
        <v>165</v>
      </c>
      <c r="X169" s="22">
        <f t="shared" si="76"/>
        <v>790.5</v>
      </c>
      <c r="Y169" s="10">
        <f t="shared" si="77"/>
        <v>5101.07</v>
      </c>
      <c r="Z169" s="72">
        <v>4682267629.6700001</v>
      </c>
      <c r="AA169" s="71">
        <v>35481</v>
      </c>
      <c r="AB169" s="22">
        <f t="shared" si="63"/>
        <v>131965.49</v>
      </c>
      <c r="AC169" s="9">
        <f t="shared" si="64"/>
        <v>0.47896699999999998</v>
      </c>
      <c r="AD169" s="71">
        <v>69611</v>
      </c>
      <c r="AE169" s="9">
        <f t="shared" si="65"/>
        <v>0.47891800000000001</v>
      </c>
      <c r="AF169" s="9">
        <f t="shared" si="84"/>
        <v>0.52104799999999996</v>
      </c>
      <c r="AG169" s="49">
        <f t="shared" si="66"/>
        <v>0.52104799999999996</v>
      </c>
      <c r="AH169" s="50">
        <f t="shared" si="67"/>
        <v>0.04</v>
      </c>
      <c r="AI169" s="51">
        <f t="shared" si="78"/>
        <v>0.56104799999999999</v>
      </c>
      <c r="AJ169">
        <v>0</v>
      </c>
      <c r="AK169">
        <v>0</v>
      </c>
      <c r="AL169" s="21">
        <f t="shared" si="79"/>
        <v>0</v>
      </c>
      <c r="AM169">
        <v>0</v>
      </c>
      <c r="AN169">
        <v>0</v>
      </c>
      <c r="AO169" s="21">
        <f t="shared" si="80"/>
        <v>0</v>
      </c>
      <c r="AP169" s="21">
        <f t="shared" si="68"/>
        <v>32983918</v>
      </c>
      <c r="AQ169" s="21">
        <f t="shared" si="81"/>
        <v>32983918</v>
      </c>
      <c r="AR169" s="48">
        <v>24482865</v>
      </c>
      <c r="AS169" s="48">
        <f t="shared" si="85"/>
        <v>34701422</v>
      </c>
      <c r="AT169" s="71">
        <v>34701422</v>
      </c>
      <c r="AU169" s="21">
        <f t="shared" si="86"/>
        <v>1717504</v>
      </c>
      <c r="AV169" s="52" t="str">
        <f t="shared" si="88"/>
        <v>No</v>
      </c>
      <c r="AW169" s="48">
        <f t="shared" si="82"/>
        <v>0</v>
      </c>
      <c r="AX169" s="53">
        <f t="shared" si="83"/>
        <v>34701422</v>
      </c>
      <c r="AY169" s="54">
        <f t="shared" si="87"/>
        <v>34701422</v>
      </c>
      <c r="AZ169" s="55"/>
      <c r="BA169" s="55"/>
      <c r="BB169" s="55"/>
      <c r="BC169" s="55"/>
      <c r="BD169" s="55"/>
    </row>
    <row r="170" spans="1:56" x14ac:dyDescent="0.5">
      <c r="A170" s="5" t="s">
        <v>77</v>
      </c>
      <c r="B170" s="5"/>
      <c r="C170" s="33"/>
      <c r="D170" s="33"/>
      <c r="E170" s="33"/>
      <c r="F170" s="2">
        <v>3</v>
      </c>
      <c r="G170">
        <v>0</v>
      </c>
      <c r="H170" s="5">
        <v>144</v>
      </c>
      <c r="I170" s="2" t="s">
        <v>223</v>
      </c>
      <c r="J170" s="45"/>
      <c r="K170">
        <v>6719.77</v>
      </c>
      <c r="L170"/>
      <c r="M170">
        <v>1399</v>
      </c>
      <c r="N170" s="46">
        <f t="shared" si="69"/>
        <v>419.7</v>
      </c>
      <c r="O170" s="46">
        <f t="shared" si="70"/>
        <v>4031.86</v>
      </c>
      <c r="P170" s="46">
        <f t="shared" si="71"/>
        <v>0</v>
      </c>
      <c r="Q170" s="46">
        <f t="shared" si="72"/>
        <v>0</v>
      </c>
      <c r="R170" s="47">
        <f t="shared" si="73"/>
        <v>0.21</v>
      </c>
      <c r="S170" s="47">
        <f t="shared" si="61"/>
        <v>0</v>
      </c>
      <c r="T170" s="46">
        <f t="shared" si="62"/>
        <v>0</v>
      </c>
      <c r="U170" s="46">
        <f t="shared" si="74"/>
        <v>0</v>
      </c>
      <c r="V170">
        <v>299</v>
      </c>
      <c r="W170" s="46">
        <f t="shared" si="75"/>
        <v>74.75</v>
      </c>
      <c r="X170" s="22">
        <f t="shared" si="76"/>
        <v>419.7</v>
      </c>
      <c r="Y170" s="10">
        <f t="shared" si="77"/>
        <v>7214.22</v>
      </c>
      <c r="Z170" s="72">
        <v>9121406574.3299999</v>
      </c>
      <c r="AA170" s="71">
        <v>36928</v>
      </c>
      <c r="AB170" s="22">
        <f t="shared" si="63"/>
        <v>247005.16</v>
      </c>
      <c r="AC170" s="9">
        <f t="shared" si="64"/>
        <v>0.89650300000000005</v>
      </c>
      <c r="AD170" s="71">
        <v>163227</v>
      </c>
      <c r="AE170" s="9">
        <f t="shared" si="65"/>
        <v>1.122989</v>
      </c>
      <c r="AF170" s="9">
        <f t="shared" si="84"/>
        <v>3.5550999999999999E-2</v>
      </c>
      <c r="AG170" s="49">
        <f t="shared" si="66"/>
        <v>3.5550999999999999E-2</v>
      </c>
      <c r="AH170" s="50">
        <f t="shared" si="67"/>
        <v>0</v>
      </c>
      <c r="AI170" s="51">
        <f t="shared" si="78"/>
        <v>3.5550999999999999E-2</v>
      </c>
      <c r="AJ170">
        <v>0</v>
      </c>
      <c r="AK170">
        <v>0</v>
      </c>
      <c r="AL170" s="21">
        <f t="shared" si="79"/>
        <v>0</v>
      </c>
      <c r="AM170">
        <v>0</v>
      </c>
      <c r="AN170">
        <v>0</v>
      </c>
      <c r="AO170" s="21">
        <f t="shared" si="80"/>
        <v>0</v>
      </c>
      <c r="AP170" s="21">
        <f t="shared" si="68"/>
        <v>2955848</v>
      </c>
      <c r="AQ170" s="21">
        <f t="shared" si="81"/>
        <v>2955848</v>
      </c>
      <c r="AR170" s="48">
        <v>3418401</v>
      </c>
      <c r="AS170" s="48">
        <f t="shared" si="85"/>
        <v>2955848</v>
      </c>
      <c r="AT170" s="71">
        <v>3417049</v>
      </c>
      <c r="AU170" s="21">
        <f t="shared" si="86"/>
        <v>461201</v>
      </c>
      <c r="AV170" s="52" t="str">
        <f t="shared" si="88"/>
        <v>No</v>
      </c>
      <c r="AW170" s="48">
        <f t="shared" si="82"/>
        <v>0</v>
      </c>
      <c r="AX170" s="53">
        <f t="shared" si="83"/>
        <v>3417049</v>
      </c>
      <c r="AY170" s="54">
        <f t="shared" si="87"/>
        <v>3417049</v>
      </c>
      <c r="AZ170" s="55"/>
      <c r="BA170" s="55"/>
      <c r="BB170" s="55"/>
      <c r="BC170" s="55"/>
      <c r="BD170" s="55"/>
    </row>
    <row r="171" spans="1:56" x14ac:dyDescent="0.5">
      <c r="A171" s="5" t="s">
        <v>75</v>
      </c>
      <c r="B171" s="5"/>
      <c r="C171" s="33"/>
      <c r="D171" s="33"/>
      <c r="E171" s="33"/>
      <c r="F171" s="2">
        <v>4</v>
      </c>
      <c r="G171">
        <v>0</v>
      </c>
      <c r="H171" s="5">
        <v>145</v>
      </c>
      <c r="I171" s="2" t="s">
        <v>224</v>
      </c>
      <c r="J171" s="45"/>
      <c r="K171">
        <v>69</v>
      </c>
      <c r="L171"/>
      <c r="M171">
        <v>13</v>
      </c>
      <c r="N171" s="46">
        <f t="shared" si="69"/>
        <v>3.9</v>
      </c>
      <c r="O171" s="46">
        <f t="shared" si="70"/>
        <v>41.4</v>
      </c>
      <c r="P171" s="46">
        <f t="shared" si="71"/>
        <v>0</v>
      </c>
      <c r="Q171" s="46">
        <f t="shared" si="72"/>
        <v>0</v>
      </c>
      <c r="R171" s="47">
        <f t="shared" si="73"/>
        <v>0.19</v>
      </c>
      <c r="S171" s="47">
        <f t="shared" si="61"/>
        <v>0</v>
      </c>
      <c r="T171" s="46">
        <f t="shared" si="62"/>
        <v>0</v>
      </c>
      <c r="U171" s="46">
        <f t="shared" si="74"/>
        <v>0</v>
      </c>
      <c r="V171">
        <v>1</v>
      </c>
      <c r="W171" s="46">
        <f t="shared" si="75"/>
        <v>0.25</v>
      </c>
      <c r="X171" s="22">
        <f t="shared" si="76"/>
        <v>3.9</v>
      </c>
      <c r="Y171" s="10">
        <f t="shared" si="77"/>
        <v>73.150000000000006</v>
      </c>
      <c r="Z171" s="72">
        <v>195989743.66999999</v>
      </c>
      <c r="AA171" s="71">
        <v>991</v>
      </c>
      <c r="AB171" s="22">
        <f t="shared" si="63"/>
        <v>197769.67</v>
      </c>
      <c r="AC171" s="9">
        <f t="shared" si="64"/>
        <v>0.71780299999999997</v>
      </c>
      <c r="AD171" s="71">
        <v>89375</v>
      </c>
      <c r="AE171" s="9">
        <f t="shared" si="65"/>
        <v>0.61489300000000002</v>
      </c>
      <c r="AF171" s="9">
        <f t="shared" si="84"/>
        <v>0.31307000000000001</v>
      </c>
      <c r="AG171" s="49">
        <f t="shared" si="66"/>
        <v>0.31307000000000001</v>
      </c>
      <c r="AH171" s="50">
        <f t="shared" si="67"/>
        <v>0</v>
      </c>
      <c r="AI171" s="51">
        <f t="shared" si="78"/>
        <v>0.31307000000000001</v>
      </c>
      <c r="AJ171">
        <v>0</v>
      </c>
      <c r="AK171">
        <v>0</v>
      </c>
      <c r="AL171" s="21">
        <f t="shared" si="79"/>
        <v>0</v>
      </c>
      <c r="AM171">
        <v>21</v>
      </c>
      <c r="AN171">
        <v>4</v>
      </c>
      <c r="AO171" s="21">
        <f t="shared" si="80"/>
        <v>8400</v>
      </c>
      <c r="AP171" s="21">
        <f t="shared" si="68"/>
        <v>263935</v>
      </c>
      <c r="AQ171" s="21">
        <f t="shared" si="81"/>
        <v>272335</v>
      </c>
      <c r="AR171" s="48">
        <v>237166</v>
      </c>
      <c r="AS171" s="48">
        <f t="shared" si="85"/>
        <v>272335</v>
      </c>
      <c r="AT171" s="71">
        <v>211728</v>
      </c>
      <c r="AU171" s="21">
        <f t="shared" si="86"/>
        <v>60607</v>
      </c>
      <c r="AV171" s="52" t="str">
        <f t="shared" si="88"/>
        <v>Yes</v>
      </c>
      <c r="AW171" s="48">
        <f t="shared" si="82"/>
        <v>60607</v>
      </c>
      <c r="AX171" s="53">
        <f t="shared" si="83"/>
        <v>272335</v>
      </c>
      <c r="AY171" s="54">
        <f t="shared" si="87"/>
        <v>272335</v>
      </c>
      <c r="AZ171" s="55"/>
      <c r="BA171" s="55"/>
      <c r="BB171" s="55"/>
      <c r="BC171" s="55"/>
      <c r="BD171" s="55"/>
    </row>
    <row r="172" spans="1:56" x14ac:dyDescent="0.5">
      <c r="A172" s="5" t="s">
        <v>86</v>
      </c>
      <c r="B172" s="5"/>
      <c r="C172" s="33">
        <v>1</v>
      </c>
      <c r="D172" s="33">
        <v>1</v>
      </c>
      <c r="E172" s="33"/>
      <c r="F172" s="2">
        <v>9</v>
      </c>
      <c r="G172">
        <v>16</v>
      </c>
      <c r="H172" s="5">
        <v>146</v>
      </c>
      <c r="I172" s="2" t="s">
        <v>225</v>
      </c>
      <c r="J172" s="45"/>
      <c r="K172">
        <v>3331.63</v>
      </c>
      <c r="L172"/>
      <c r="M172">
        <v>1892</v>
      </c>
      <c r="N172" s="46">
        <f t="shared" si="69"/>
        <v>567.6</v>
      </c>
      <c r="O172" s="46">
        <f t="shared" si="70"/>
        <v>1998.98</v>
      </c>
      <c r="P172" s="46">
        <f t="shared" si="71"/>
        <v>0</v>
      </c>
      <c r="Q172" s="46">
        <f t="shared" si="72"/>
        <v>0</v>
      </c>
      <c r="R172" s="47">
        <f t="shared" si="73"/>
        <v>0.56999999999999995</v>
      </c>
      <c r="S172" s="47">
        <f t="shared" si="61"/>
        <v>0</v>
      </c>
      <c r="T172" s="46">
        <f t="shared" si="62"/>
        <v>0</v>
      </c>
      <c r="U172" s="46">
        <f t="shared" si="74"/>
        <v>0</v>
      </c>
      <c r="V172">
        <v>153</v>
      </c>
      <c r="W172" s="46">
        <f t="shared" si="75"/>
        <v>38.25</v>
      </c>
      <c r="X172" s="22">
        <f t="shared" si="76"/>
        <v>567.6</v>
      </c>
      <c r="Y172" s="10">
        <f t="shared" si="77"/>
        <v>3937.48</v>
      </c>
      <c r="Z172" s="72">
        <v>3952173227.3299999</v>
      </c>
      <c r="AA172" s="71">
        <v>30377</v>
      </c>
      <c r="AB172" s="22">
        <f t="shared" si="63"/>
        <v>130104.13</v>
      </c>
      <c r="AC172" s="9">
        <f t="shared" si="64"/>
        <v>0.47221200000000002</v>
      </c>
      <c r="AD172" s="71">
        <v>80766</v>
      </c>
      <c r="AE172" s="9">
        <f t="shared" si="65"/>
        <v>0.55566400000000005</v>
      </c>
      <c r="AF172" s="9">
        <f t="shared" si="84"/>
        <v>0.50275199999999998</v>
      </c>
      <c r="AG172" s="49">
        <f t="shared" si="66"/>
        <v>0.50275199999999998</v>
      </c>
      <c r="AH172" s="50">
        <f t="shared" si="67"/>
        <v>0.03</v>
      </c>
      <c r="AI172" s="51">
        <f t="shared" si="78"/>
        <v>0.532752</v>
      </c>
      <c r="AJ172">
        <v>0</v>
      </c>
      <c r="AK172">
        <v>0</v>
      </c>
      <c r="AL172" s="21">
        <f t="shared" si="79"/>
        <v>0</v>
      </c>
      <c r="AM172">
        <v>0</v>
      </c>
      <c r="AN172">
        <v>0</v>
      </c>
      <c r="AO172" s="21">
        <f t="shared" si="80"/>
        <v>0</v>
      </c>
      <c r="AP172" s="21">
        <f t="shared" si="68"/>
        <v>24175996</v>
      </c>
      <c r="AQ172" s="21">
        <f t="shared" si="81"/>
        <v>24175996</v>
      </c>
      <c r="AR172" s="48">
        <v>19250233</v>
      </c>
      <c r="AS172" s="48">
        <f t="shared" si="85"/>
        <v>24175996</v>
      </c>
      <c r="AT172" s="71">
        <v>23512721</v>
      </c>
      <c r="AU172" s="21">
        <f t="shared" si="86"/>
        <v>663275</v>
      </c>
      <c r="AV172" s="52" t="str">
        <f t="shared" si="88"/>
        <v>Yes</v>
      </c>
      <c r="AW172" s="48">
        <f t="shared" si="82"/>
        <v>663275</v>
      </c>
      <c r="AX172" s="53">
        <f t="shared" si="83"/>
        <v>24175996</v>
      </c>
      <c r="AY172" s="54">
        <f t="shared" si="87"/>
        <v>24175996</v>
      </c>
      <c r="AZ172" s="55"/>
      <c r="BA172" s="55"/>
      <c r="BB172" s="55"/>
      <c r="BC172" s="55"/>
      <c r="BD172" s="55"/>
    </row>
    <row r="173" spans="1:56" x14ac:dyDescent="0.5">
      <c r="A173" s="5" t="s">
        <v>99</v>
      </c>
      <c r="B173" s="5"/>
      <c r="C173" s="33"/>
      <c r="D173" s="33"/>
      <c r="E173" s="33"/>
      <c r="F173" s="2">
        <v>8</v>
      </c>
      <c r="G173">
        <v>0</v>
      </c>
      <c r="H173" s="5">
        <v>147</v>
      </c>
      <c r="I173" s="2" t="s">
        <v>226</v>
      </c>
      <c r="J173" s="45"/>
      <c r="K173">
        <v>273.81</v>
      </c>
      <c r="L173"/>
      <c r="M173">
        <v>101</v>
      </c>
      <c r="N173" s="46">
        <f t="shared" si="69"/>
        <v>30.3</v>
      </c>
      <c r="O173" s="46">
        <f t="shared" si="70"/>
        <v>164.29</v>
      </c>
      <c r="P173" s="46">
        <f t="shared" si="71"/>
        <v>0</v>
      </c>
      <c r="Q173" s="46">
        <f t="shared" si="72"/>
        <v>0</v>
      </c>
      <c r="R173" s="47">
        <f t="shared" si="73"/>
        <v>0.37</v>
      </c>
      <c r="S173" s="47">
        <f t="shared" si="61"/>
        <v>0</v>
      </c>
      <c r="T173" s="46">
        <f t="shared" si="62"/>
        <v>0</v>
      </c>
      <c r="U173" s="46">
        <f t="shared" si="74"/>
        <v>0</v>
      </c>
      <c r="V173">
        <v>6</v>
      </c>
      <c r="W173" s="46">
        <f t="shared" si="75"/>
        <v>1.5</v>
      </c>
      <c r="X173" s="22">
        <f t="shared" si="76"/>
        <v>30.3</v>
      </c>
      <c r="Y173" s="10">
        <f t="shared" si="77"/>
        <v>305.61</v>
      </c>
      <c r="Z173" s="72">
        <v>505762975.32999998</v>
      </c>
      <c r="AA173" s="71">
        <v>2587</v>
      </c>
      <c r="AB173" s="22">
        <f t="shared" si="63"/>
        <v>195501.73</v>
      </c>
      <c r="AC173" s="9">
        <f t="shared" si="64"/>
        <v>0.70957099999999995</v>
      </c>
      <c r="AD173" s="71">
        <v>92438</v>
      </c>
      <c r="AE173" s="9">
        <f t="shared" si="65"/>
        <v>0.63596600000000003</v>
      </c>
      <c r="AF173" s="9">
        <f t="shared" si="84"/>
        <v>0.31251099999999998</v>
      </c>
      <c r="AG173" s="49">
        <f t="shared" si="66"/>
        <v>0.31251099999999998</v>
      </c>
      <c r="AH173" s="50">
        <f t="shared" si="67"/>
        <v>0</v>
      </c>
      <c r="AI173" s="51">
        <f t="shared" si="78"/>
        <v>0.31251099999999998</v>
      </c>
      <c r="AJ173">
        <v>0</v>
      </c>
      <c r="AK173">
        <v>0</v>
      </c>
      <c r="AL173" s="21">
        <f t="shared" si="79"/>
        <v>0</v>
      </c>
      <c r="AM173">
        <v>27</v>
      </c>
      <c r="AN173">
        <v>4</v>
      </c>
      <c r="AO173" s="21">
        <f t="shared" si="80"/>
        <v>10800</v>
      </c>
      <c r="AP173" s="21">
        <f t="shared" si="68"/>
        <v>1100712</v>
      </c>
      <c r="AQ173" s="21">
        <f t="shared" si="81"/>
        <v>1111512</v>
      </c>
      <c r="AR173" s="48">
        <v>2502621</v>
      </c>
      <c r="AS173" s="48">
        <f t="shared" si="85"/>
        <v>1111512</v>
      </c>
      <c r="AT173" s="71">
        <v>2117243</v>
      </c>
      <c r="AU173" s="21">
        <f t="shared" si="86"/>
        <v>1005731</v>
      </c>
      <c r="AV173" s="52" t="str">
        <f t="shared" si="88"/>
        <v>No</v>
      </c>
      <c r="AW173" s="48">
        <f t="shared" si="82"/>
        <v>0</v>
      </c>
      <c r="AX173" s="53">
        <f t="shared" si="83"/>
        <v>2117243</v>
      </c>
      <c r="AY173" s="54">
        <f t="shared" si="87"/>
        <v>2117243</v>
      </c>
      <c r="AZ173" s="55"/>
      <c r="BA173" s="55"/>
      <c r="BB173" s="55"/>
      <c r="BC173" s="55"/>
      <c r="BD173" s="55"/>
    </row>
    <row r="174" spans="1:56" x14ac:dyDescent="0.5">
      <c r="A174" s="5" t="s">
        <v>81</v>
      </c>
      <c r="B174" s="5"/>
      <c r="C174" s="33"/>
      <c r="D174" s="33"/>
      <c r="E174" s="33"/>
      <c r="F174" s="2">
        <v>6</v>
      </c>
      <c r="G174">
        <v>0</v>
      </c>
      <c r="H174" s="5">
        <v>148</v>
      </c>
      <c r="I174" s="2" t="s">
        <v>227</v>
      </c>
      <c r="J174" s="45"/>
      <c r="K174">
        <v>4890.2700000000004</v>
      </c>
      <c r="L174"/>
      <c r="M174">
        <v>1620</v>
      </c>
      <c r="N174" s="46">
        <f t="shared" si="69"/>
        <v>486</v>
      </c>
      <c r="O174" s="46">
        <f t="shared" si="70"/>
        <v>2934.16</v>
      </c>
      <c r="P174" s="46">
        <f t="shared" si="71"/>
        <v>0</v>
      </c>
      <c r="Q174" s="46">
        <f t="shared" si="72"/>
        <v>0</v>
      </c>
      <c r="R174" s="47">
        <f t="shared" si="73"/>
        <v>0.33</v>
      </c>
      <c r="S174" s="47">
        <f t="shared" si="61"/>
        <v>0</v>
      </c>
      <c r="T174" s="46">
        <f t="shared" si="62"/>
        <v>0</v>
      </c>
      <c r="U174" s="46">
        <f t="shared" si="74"/>
        <v>0</v>
      </c>
      <c r="V174">
        <v>383</v>
      </c>
      <c r="W174" s="46">
        <f t="shared" si="75"/>
        <v>95.75</v>
      </c>
      <c r="X174" s="22">
        <f t="shared" si="76"/>
        <v>486</v>
      </c>
      <c r="Y174" s="10">
        <f t="shared" si="77"/>
        <v>5472.02</v>
      </c>
      <c r="Z174" s="72">
        <v>8624598481.3299999</v>
      </c>
      <c r="AA174" s="71">
        <v>44039</v>
      </c>
      <c r="AB174" s="22">
        <f t="shared" si="63"/>
        <v>195840.02</v>
      </c>
      <c r="AC174" s="9">
        <f t="shared" si="64"/>
        <v>0.71079899999999996</v>
      </c>
      <c r="AD174" s="71">
        <v>101572</v>
      </c>
      <c r="AE174" s="9">
        <f t="shared" si="65"/>
        <v>0.69880799999999998</v>
      </c>
      <c r="AF174" s="9">
        <f t="shared" si="84"/>
        <v>0.292798</v>
      </c>
      <c r="AG174" s="49">
        <f t="shared" si="66"/>
        <v>0.292798</v>
      </c>
      <c r="AH174" s="50">
        <f t="shared" si="67"/>
        <v>0</v>
      </c>
      <c r="AI174" s="51">
        <f t="shared" si="78"/>
        <v>0.292798</v>
      </c>
      <c r="AJ174">
        <v>0</v>
      </c>
      <c r="AK174">
        <v>0</v>
      </c>
      <c r="AL174" s="21">
        <f t="shared" si="79"/>
        <v>0</v>
      </c>
      <c r="AM174">
        <v>0</v>
      </c>
      <c r="AN174">
        <v>0</v>
      </c>
      <c r="AO174" s="21">
        <f t="shared" si="80"/>
        <v>0</v>
      </c>
      <c r="AP174" s="21">
        <f t="shared" si="68"/>
        <v>18465315</v>
      </c>
      <c r="AQ174" s="21">
        <f t="shared" si="81"/>
        <v>18465315</v>
      </c>
      <c r="AR174" s="48">
        <v>21301522</v>
      </c>
      <c r="AS174" s="48">
        <f t="shared" si="85"/>
        <v>18465315</v>
      </c>
      <c r="AT174" s="71">
        <v>21286162</v>
      </c>
      <c r="AU174" s="21">
        <f t="shared" si="86"/>
        <v>2820847</v>
      </c>
      <c r="AV174" s="52" t="str">
        <f t="shared" si="88"/>
        <v>No</v>
      </c>
      <c r="AW174" s="48">
        <f t="shared" si="82"/>
        <v>0</v>
      </c>
      <c r="AX174" s="53">
        <f t="shared" si="83"/>
        <v>21286162</v>
      </c>
      <c r="AY174" s="54">
        <f t="shared" si="87"/>
        <v>21286162</v>
      </c>
      <c r="AZ174" s="55"/>
      <c r="BA174" s="55"/>
      <c r="BB174" s="55"/>
      <c r="BC174" s="55"/>
      <c r="BD174" s="55"/>
    </row>
    <row r="175" spans="1:56" x14ac:dyDescent="0.5">
      <c r="A175" s="5" t="s">
        <v>75</v>
      </c>
      <c r="B175" s="5"/>
      <c r="C175" s="33"/>
      <c r="D175" s="33"/>
      <c r="E175" s="33"/>
      <c r="F175" s="2">
        <v>1</v>
      </c>
      <c r="G175">
        <v>0</v>
      </c>
      <c r="H175" s="5">
        <v>149</v>
      </c>
      <c r="I175" s="2" t="s">
        <v>228</v>
      </c>
      <c r="J175" s="45"/>
      <c r="K175">
        <v>122.49</v>
      </c>
      <c r="L175"/>
      <c r="M175">
        <v>27</v>
      </c>
      <c r="N175" s="46">
        <f t="shared" si="69"/>
        <v>8.1</v>
      </c>
      <c r="O175" s="46">
        <f t="shared" si="70"/>
        <v>73.489999999999995</v>
      </c>
      <c r="P175" s="46">
        <f t="shared" si="71"/>
        <v>0</v>
      </c>
      <c r="Q175" s="46">
        <f t="shared" si="72"/>
        <v>0</v>
      </c>
      <c r="R175" s="47">
        <f t="shared" si="73"/>
        <v>0.22</v>
      </c>
      <c r="S175" s="47">
        <f t="shared" si="61"/>
        <v>0</v>
      </c>
      <c r="T175" s="46">
        <f t="shared" si="62"/>
        <v>0</v>
      </c>
      <c r="U175" s="46">
        <f t="shared" si="74"/>
        <v>0</v>
      </c>
      <c r="V175">
        <v>0</v>
      </c>
      <c r="W175" s="46">
        <f t="shared" si="75"/>
        <v>0</v>
      </c>
      <c r="X175" s="22">
        <f t="shared" si="76"/>
        <v>8.1</v>
      </c>
      <c r="Y175" s="10">
        <f t="shared" si="77"/>
        <v>130.59</v>
      </c>
      <c r="Z175" s="72">
        <v>795420643.33000004</v>
      </c>
      <c r="AA175" s="71">
        <v>1474</v>
      </c>
      <c r="AB175" s="22">
        <f t="shared" si="63"/>
        <v>539634.09</v>
      </c>
      <c r="AC175" s="9">
        <f t="shared" si="64"/>
        <v>1.958596</v>
      </c>
      <c r="AD175" s="71">
        <v>119167</v>
      </c>
      <c r="AE175" s="9">
        <f t="shared" si="65"/>
        <v>0.81986000000000003</v>
      </c>
      <c r="AF175" s="9">
        <f t="shared" si="84"/>
        <v>-0.61697500000000005</v>
      </c>
      <c r="AG175" s="49">
        <f t="shared" si="66"/>
        <v>0.01</v>
      </c>
      <c r="AH175" s="50">
        <f t="shared" si="67"/>
        <v>0</v>
      </c>
      <c r="AI175" s="51">
        <f t="shared" si="78"/>
        <v>0.01</v>
      </c>
      <c r="AJ175">
        <v>122</v>
      </c>
      <c r="AK175">
        <v>13</v>
      </c>
      <c r="AL175" s="21">
        <f t="shared" si="79"/>
        <v>158600</v>
      </c>
      <c r="AM175">
        <v>0</v>
      </c>
      <c r="AN175">
        <v>0</v>
      </c>
      <c r="AO175" s="21">
        <f t="shared" si="80"/>
        <v>0</v>
      </c>
      <c r="AP175" s="21">
        <f t="shared" si="68"/>
        <v>15050</v>
      </c>
      <c r="AQ175" s="21">
        <f t="shared" si="81"/>
        <v>173650</v>
      </c>
      <c r="AR175" s="48">
        <v>33205</v>
      </c>
      <c r="AS175" s="48">
        <f t="shared" si="85"/>
        <v>173650</v>
      </c>
      <c r="AT175" s="71">
        <v>173740</v>
      </c>
      <c r="AU175" s="21">
        <f t="shared" si="86"/>
        <v>90</v>
      </c>
      <c r="AV175" s="52" t="str">
        <f t="shared" si="88"/>
        <v>No</v>
      </c>
      <c r="AW175" s="48">
        <f t="shared" si="82"/>
        <v>0</v>
      </c>
      <c r="AX175" s="53">
        <f t="shared" si="83"/>
        <v>173740</v>
      </c>
      <c r="AY175" s="54">
        <f t="shared" si="87"/>
        <v>173740</v>
      </c>
      <c r="AZ175" s="55"/>
      <c r="BA175" s="55"/>
      <c r="BB175" s="55"/>
      <c r="BC175" s="55"/>
      <c r="BD175" s="55"/>
    </row>
    <row r="176" spans="1:56" x14ac:dyDescent="0.5">
      <c r="A176" s="5" t="s">
        <v>71</v>
      </c>
      <c r="B176" s="5"/>
      <c r="C176" s="33"/>
      <c r="D176" s="33"/>
      <c r="E176" s="33"/>
      <c r="F176" s="2">
        <v>1</v>
      </c>
      <c r="G176">
        <v>0</v>
      </c>
      <c r="H176" s="5">
        <v>150</v>
      </c>
      <c r="I176" s="2" t="s">
        <v>229</v>
      </c>
      <c r="J176" s="45"/>
      <c r="K176">
        <v>262.58999999999997</v>
      </c>
      <c r="L176"/>
      <c r="M176">
        <v>77</v>
      </c>
      <c r="N176" s="46">
        <f t="shared" si="69"/>
        <v>23.1</v>
      </c>
      <c r="O176" s="46">
        <f t="shared" si="70"/>
        <v>157.55000000000001</v>
      </c>
      <c r="P176" s="46">
        <f t="shared" si="71"/>
        <v>0</v>
      </c>
      <c r="Q176" s="46">
        <f t="shared" si="72"/>
        <v>0</v>
      </c>
      <c r="R176" s="47">
        <f t="shared" si="73"/>
        <v>0.28999999999999998</v>
      </c>
      <c r="S176" s="47">
        <f t="shared" si="61"/>
        <v>0</v>
      </c>
      <c r="T176" s="46">
        <f t="shared" si="62"/>
        <v>0</v>
      </c>
      <c r="U176" s="46">
        <f t="shared" si="74"/>
        <v>0</v>
      </c>
      <c r="V176">
        <v>15</v>
      </c>
      <c r="W176" s="46">
        <f t="shared" si="75"/>
        <v>3.75</v>
      </c>
      <c r="X176" s="22">
        <f t="shared" si="76"/>
        <v>23.1</v>
      </c>
      <c r="Y176" s="10">
        <f t="shared" si="77"/>
        <v>289.44</v>
      </c>
      <c r="Z176" s="72">
        <v>2634730383</v>
      </c>
      <c r="AA176" s="71">
        <v>3648</v>
      </c>
      <c r="AB176" s="22">
        <f t="shared" si="63"/>
        <v>722239.69</v>
      </c>
      <c r="AC176" s="9">
        <f t="shared" si="64"/>
        <v>2.6213609999999998</v>
      </c>
      <c r="AD176" s="71">
        <v>89135</v>
      </c>
      <c r="AE176" s="9">
        <f t="shared" si="65"/>
        <v>0.61324199999999995</v>
      </c>
      <c r="AF176" s="9">
        <f t="shared" si="84"/>
        <v>-1.0189250000000001</v>
      </c>
      <c r="AG176" s="49">
        <f t="shared" si="66"/>
        <v>0.01</v>
      </c>
      <c r="AH176" s="50">
        <f t="shared" si="67"/>
        <v>0</v>
      </c>
      <c r="AI176" s="51">
        <f t="shared" si="78"/>
        <v>0.01</v>
      </c>
      <c r="AJ176">
        <v>259</v>
      </c>
      <c r="AK176">
        <v>13</v>
      </c>
      <c r="AL176" s="21">
        <f t="shared" si="79"/>
        <v>336700</v>
      </c>
      <c r="AM176">
        <v>0</v>
      </c>
      <c r="AN176">
        <v>0</v>
      </c>
      <c r="AO176" s="21">
        <f t="shared" si="80"/>
        <v>0</v>
      </c>
      <c r="AP176" s="21">
        <f t="shared" si="68"/>
        <v>33358</v>
      </c>
      <c r="AQ176" s="21">
        <f t="shared" si="81"/>
        <v>370058</v>
      </c>
      <c r="AR176" s="48">
        <v>50646</v>
      </c>
      <c r="AS176" s="48">
        <f t="shared" si="85"/>
        <v>370058</v>
      </c>
      <c r="AT176" s="71">
        <v>337108</v>
      </c>
      <c r="AU176" s="21">
        <f t="shared" si="86"/>
        <v>32950</v>
      </c>
      <c r="AV176" s="52" t="str">
        <f t="shared" si="88"/>
        <v>Yes</v>
      </c>
      <c r="AW176" s="48">
        <f t="shared" si="82"/>
        <v>32950</v>
      </c>
      <c r="AX176" s="53">
        <f t="shared" si="83"/>
        <v>370058</v>
      </c>
      <c r="AY176" s="54">
        <f t="shared" si="87"/>
        <v>370058</v>
      </c>
      <c r="AZ176" s="55"/>
      <c r="BA176" s="55"/>
      <c r="BB176" s="55"/>
      <c r="BC176" s="55"/>
      <c r="BD176" s="55"/>
    </row>
    <row r="177" spans="1:56" x14ac:dyDescent="0.5">
      <c r="A177" s="5" t="s">
        <v>91</v>
      </c>
      <c r="B177" s="5">
        <v>1</v>
      </c>
      <c r="C177" s="33">
        <v>1</v>
      </c>
      <c r="D177" s="33">
        <v>0</v>
      </c>
      <c r="E177" s="33">
        <v>1</v>
      </c>
      <c r="F177" s="2">
        <v>10</v>
      </c>
      <c r="G177">
        <v>2</v>
      </c>
      <c r="H177" s="5">
        <v>151</v>
      </c>
      <c r="I177" s="2" t="s">
        <v>230</v>
      </c>
      <c r="J177" s="45"/>
      <c r="K177">
        <v>18190.53</v>
      </c>
      <c r="L177"/>
      <c r="M177">
        <v>13521</v>
      </c>
      <c r="N177" s="46">
        <f t="shared" si="69"/>
        <v>4056.3</v>
      </c>
      <c r="O177" s="46">
        <f t="shared" si="70"/>
        <v>10914.32</v>
      </c>
      <c r="P177" s="46">
        <f t="shared" si="71"/>
        <v>2606.6800000000003</v>
      </c>
      <c r="Q177" s="46">
        <f t="shared" si="72"/>
        <v>391</v>
      </c>
      <c r="R177" s="47">
        <f t="shared" si="73"/>
        <v>0.74</v>
      </c>
      <c r="S177" s="47">
        <f t="shared" si="61"/>
        <v>0.14000000000000001</v>
      </c>
      <c r="T177" s="46">
        <f t="shared" si="62"/>
        <v>2546.67</v>
      </c>
      <c r="U177" s="46">
        <f t="shared" si="74"/>
        <v>382</v>
      </c>
      <c r="V177">
        <v>3955</v>
      </c>
      <c r="W177" s="46">
        <f t="shared" si="75"/>
        <v>988.75</v>
      </c>
      <c r="X177" s="22">
        <f t="shared" si="76"/>
        <v>4056.3</v>
      </c>
      <c r="Y177" s="10">
        <f t="shared" si="77"/>
        <v>23626.579999999998</v>
      </c>
      <c r="Z177" s="72">
        <v>11485756221.33</v>
      </c>
      <c r="AA177" s="71">
        <v>114356</v>
      </c>
      <c r="AB177" s="22">
        <f t="shared" si="63"/>
        <v>100438.6</v>
      </c>
      <c r="AC177" s="9">
        <f t="shared" si="64"/>
        <v>0.364541</v>
      </c>
      <c r="AD177" s="71">
        <v>51642</v>
      </c>
      <c r="AE177" s="9">
        <f t="shared" si="65"/>
        <v>0.35529300000000003</v>
      </c>
      <c r="AF177" s="9">
        <f t="shared" si="84"/>
        <v>0.63823300000000005</v>
      </c>
      <c r="AG177" s="49">
        <f t="shared" si="66"/>
        <v>0.63823300000000005</v>
      </c>
      <c r="AH177" s="50">
        <f t="shared" si="67"/>
        <v>0.06</v>
      </c>
      <c r="AI177" s="51">
        <f t="shared" si="78"/>
        <v>0.6982330000000001</v>
      </c>
      <c r="AJ177">
        <v>0</v>
      </c>
      <c r="AK177">
        <v>0</v>
      </c>
      <c r="AL177" s="21">
        <f t="shared" si="79"/>
        <v>0</v>
      </c>
      <c r="AM177">
        <v>0</v>
      </c>
      <c r="AN177">
        <v>0</v>
      </c>
      <c r="AO177" s="21">
        <f t="shared" si="80"/>
        <v>0</v>
      </c>
      <c r="AP177" s="21">
        <f t="shared" si="68"/>
        <v>190126287</v>
      </c>
      <c r="AQ177" s="21">
        <f t="shared" si="81"/>
        <v>190126287</v>
      </c>
      <c r="AR177" s="48">
        <v>133606066</v>
      </c>
      <c r="AS177" s="48">
        <f t="shared" si="85"/>
        <v>201118542</v>
      </c>
      <c r="AT177" s="71">
        <v>201118542</v>
      </c>
      <c r="AU177" s="21">
        <f t="shared" si="86"/>
        <v>10992255</v>
      </c>
      <c r="AV177" s="52" t="str">
        <f t="shared" si="88"/>
        <v>No</v>
      </c>
      <c r="AW177" s="48">
        <f t="shared" si="82"/>
        <v>0</v>
      </c>
      <c r="AX177" s="53">
        <f t="shared" si="83"/>
        <v>201118542</v>
      </c>
      <c r="AY177" s="54">
        <f t="shared" si="87"/>
        <v>201118542</v>
      </c>
      <c r="AZ177" s="55"/>
      <c r="BA177" s="55"/>
      <c r="BB177" s="55"/>
      <c r="BC177" s="55"/>
      <c r="BD177" s="55"/>
    </row>
    <row r="178" spans="1:56" x14ac:dyDescent="0.5">
      <c r="A178" s="5" t="s">
        <v>81</v>
      </c>
      <c r="B178" s="5"/>
      <c r="C178" s="33"/>
      <c r="D178" s="33"/>
      <c r="E178" s="33"/>
      <c r="F178" s="2">
        <v>2</v>
      </c>
      <c r="G178">
        <v>0</v>
      </c>
      <c r="H178" s="5">
        <v>152</v>
      </c>
      <c r="I178" s="2" t="s">
        <v>231</v>
      </c>
      <c r="J178" s="45"/>
      <c r="K178">
        <v>2361.48</v>
      </c>
      <c r="L178"/>
      <c r="M178">
        <v>720</v>
      </c>
      <c r="N178" s="46">
        <f t="shared" si="69"/>
        <v>216</v>
      </c>
      <c r="O178" s="46">
        <f t="shared" si="70"/>
        <v>1416.89</v>
      </c>
      <c r="P178" s="46">
        <f t="shared" si="71"/>
        <v>0</v>
      </c>
      <c r="Q178" s="46">
        <f t="shared" si="72"/>
        <v>0</v>
      </c>
      <c r="R178" s="47">
        <f t="shared" si="73"/>
        <v>0.3</v>
      </c>
      <c r="S178" s="47">
        <f t="shared" si="61"/>
        <v>0</v>
      </c>
      <c r="T178" s="46">
        <f t="shared" si="62"/>
        <v>0</v>
      </c>
      <c r="U178" s="46">
        <f t="shared" si="74"/>
        <v>0</v>
      </c>
      <c r="V178">
        <v>144</v>
      </c>
      <c r="W178" s="46">
        <f t="shared" si="75"/>
        <v>36</v>
      </c>
      <c r="X178" s="22">
        <f t="shared" si="76"/>
        <v>216</v>
      </c>
      <c r="Y178" s="10">
        <f t="shared" si="77"/>
        <v>2613.48</v>
      </c>
      <c r="Z178" s="72">
        <v>6500217292.3299999</v>
      </c>
      <c r="AA178" s="71">
        <v>19629</v>
      </c>
      <c r="AB178" s="22">
        <f t="shared" si="63"/>
        <v>331153.77</v>
      </c>
      <c r="AC178" s="9">
        <f t="shared" si="64"/>
        <v>1.201919</v>
      </c>
      <c r="AD178" s="71">
        <v>109485</v>
      </c>
      <c r="AE178" s="9">
        <f t="shared" si="65"/>
        <v>0.75324800000000003</v>
      </c>
      <c r="AF178" s="9">
        <f t="shared" si="84"/>
        <v>-6.7318000000000003E-2</v>
      </c>
      <c r="AG178" s="49">
        <f t="shared" si="66"/>
        <v>0.01</v>
      </c>
      <c r="AH178" s="50">
        <f t="shared" si="67"/>
        <v>0</v>
      </c>
      <c r="AI178" s="51">
        <f t="shared" si="78"/>
        <v>0.01</v>
      </c>
      <c r="AJ178">
        <v>0</v>
      </c>
      <c r="AK178">
        <v>0</v>
      </c>
      <c r="AL178" s="21">
        <f t="shared" si="79"/>
        <v>0</v>
      </c>
      <c r="AM178">
        <v>0</v>
      </c>
      <c r="AN178">
        <v>0</v>
      </c>
      <c r="AO178" s="21">
        <f t="shared" si="80"/>
        <v>0</v>
      </c>
      <c r="AP178" s="21">
        <f t="shared" si="68"/>
        <v>301204</v>
      </c>
      <c r="AQ178" s="21">
        <f t="shared" si="81"/>
        <v>301204</v>
      </c>
      <c r="AR178" s="48">
        <v>321279</v>
      </c>
      <c r="AS178" s="48">
        <f t="shared" si="85"/>
        <v>301204</v>
      </c>
      <c r="AT178" s="71">
        <v>326444</v>
      </c>
      <c r="AU178" s="21">
        <f t="shared" si="86"/>
        <v>25240</v>
      </c>
      <c r="AV178" s="52" t="str">
        <f t="shared" si="88"/>
        <v>No</v>
      </c>
      <c r="AW178" s="48">
        <f t="shared" si="82"/>
        <v>0</v>
      </c>
      <c r="AX178" s="53">
        <f t="shared" si="83"/>
        <v>326444</v>
      </c>
      <c r="AY178" s="54">
        <f t="shared" si="87"/>
        <v>326444</v>
      </c>
      <c r="AZ178" s="55"/>
      <c r="BA178" s="55"/>
      <c r="BB178" s="55"/>
      <c r="BC178" s="55"/>
      <c r="BD178" s="55"/>
    </row>
    <row r="179" spans="1:56" x14ac:dyDescent="0.5">
      <c r="A179" s="5" t="s">
        <v>81</v>
      </c>
      <c r="B179" s="5"/>
      <c r="C179" s="33"/>
      <c r="D179" s="33"/>
      <c r="E179" s="33"/>
      <c r="F179" s="2">
        <v>7</v>
      </c>
      <c r="G179">
        <v>0</v>
      </c>
      <c r="H179" s="5">
        <v>153</v>
      </c>
      <c r="I179" s="2" t="s">
        <v>232</v>
      </c>
      <c r="J179" s="45"/>
      <c r="K179">
        <v>2654.24</v>
      </c>
      <c r="L179"/>
      <c r="M179">
        <v>1074</v>
      </c>
      <c r="N179" s="46">
        <f t="shared" si="69"/>
        <v>322.2</v>
      </c>
      <c r="O179" s="46">
        <f t="shared" si="70"/>
        <v>1592.54</v>
      </c>
      <c r="P179" s="46">
        <f t="shared" si="71"/>
        <v>0</v>
      </c>
      <c r="Q179" s="46">
        <f t="shared" si="72"/>
        <v>0</v>
      </c>
      <c r="R179" s="47">
        <f t="shared" si="73"/>
        <v>0.4</v>
      </c>
      <c r="S179" s="47">
        <f t="shared" si="61"/>
        <v>0</v>
      </c>
      <c r="T179" s="46">
        <f t="shared" si="62"/>
        <v>0</v>
      </c>
      <c r="U179" s="46">
        <f t="shared" si="74"/>
        <v>0</v>
      </c>
      <c r="V179">
        <v>123</v>
      </c>
      <c r="W179" s="46">
        <f t="shared" si="75"/>
        <v>30.75</v>
      </c>
      <c r="X179" s="22">
        <f t="shared" si="76"/>
        <v>322.2</v>
      </c>
      <c r="Y179" s="10">
        <f t="shared" si="77"/>
        <v>3007.1899999999996</v>
      </c>
      <c r="Z179" s="72">
        <v>3764178815.3299999</v>
      </c>
      <c r="AA179" s="71">
        <v>22171</v>
      </c>
      <c r="AB179" s="22">
        <f t="shared" si="63"/>
        <v>169779.39</v>
      </c>
      <c r="AC179" s="9">
        <f t="shared" si="64"/>
        <v>0.61621199999999998</v>
      </c>
      <c r="AD179" s="71">
        <v>97664</v>
      </c>
      <c r="AE179" s="9">
        <f t="shared" si="65"/>
        <v>0.67192099999999999</v>
      </c>
      <c r="AF179" s="9">
        <f t="shared" si="84"/>
        <v>0.36707499999999998</v>
      </c>
      <c r="AG179" s="49">
        <f t="shared" si="66"/>
        <v>0.36707499999999998</v>
      </c>
      <c r="AH179" s="50">
        <f t="shared" si="67"/>
        <v>0</v>
      </c>
      <c r="AI179" s="51">
        <f t="shared" si="78"/>
        <v>0.36707499999999998</v>
      </c>
      <c r="AJ179">
        <v>0</v>
      </c>
      <c r="AK179">
        <v>0</v>
      </c>
      <c r="AL179" s="21">
        <f t="shared" si="79"/>
        <v>0</v>
      </c>
      <c r="AM179">
        <v>0</v>
      </c>
      <c r="AN179">
        <v>0</v>
      </c>
      <c r="AO179" s="21">
        <f t="shared" si="80"/>
        <v>0</v>
      </c>
      <c r="AP179" s="21">
        <f t="shared" si="68"/>
        <v>12722036</v>
      </c>
      <c r="AQ179" s="21">
        <f t="shared" si="81"/>
        <v>12722036</v>
      </c>
      <c r="AR179" s="48">
        <v>11753175</v>
      </c>
      <c r="AS179" s="48">
        <f t="shared" si="85"/>
        <v>12722036</v>
      </c>
      <c r="AT179" s="71">
        <v>12991496</v>
      </c>
      <c r="AU179" s="21">
        <f t="shared" si="86"/>
        <v>269460</v>
      </c>
      <c r="AV179" s="52" t="str">
        <f t="shared" si="88"/>
        <v>No</v>
      </c>
      <c r="AW179" s="48">
        <f t="shared" si="82"/>
        <v>0</v>
      </c>
      <c r="AX179" s="53">
        <f t="shared" si="83"/>
        <v>12991496</v>
      </c>
      <c r="AY179" s="54">
        <f t="shared" si="87"/>
        <v>12991496</v>
      </c>
      <c r="AZ179" s="55"/>
      <c r="BA179" s="55"/>
      <c r="BB179" s="55"/>
      <c r="BC179" s="55"/>
      <c r="BD179" s="55"/>
    </row>
    <row r="180" spans="1:56" x14ac:dyDescent="0.5">
      <c r="A180" s="5" t="s">
        <v>75</v>
      </c>
      <c r="B180" s="5"/>
      <c r="C180" s="33"/>
      <c r="D180" s="33"/>
      <c r="E180" s="33"/>
      <c r="F180" s="2">
        <v>2</v>
      </c>
      <c r="G180">
        <v>0</v>
      </c>
      <c r="H180" s="5">
        <v>154</v>
      </c>
      <c r="I180" s="2" t="s">
        <v>233</v>
      </c>
      <c r="J180" s="45"/>
      <c r="K180">
        <v>562.02</v>
      </c>
      <c r="L180"/>
      <c r="M180">
        <v>204</v>
      </c>
      <c r="N180" s="46">
        <f t="shared" si="69"/>
        <v>61.2</v>
      </c>
      <c r="O180" s="46">
        <f t="shared" si="70"/>
        <v>337.21</v>
      </c>
      <c r="P180" s="46">
        <f t="shared" si="71"/>
        <v>0</v>
      </c>
      <c r="Q180" s="46">
        <f t="shared" si="72"/>
        <v>0</v>
      </c>
      <c r="R180" s="47">
        <f t="shared" si="73"/>
        <v>0.36</v>
      </c>
      <c r="S180" s="47">
        <f t="shared" si="61"/>
        <v>0</v>
      </c>
      <c r="T180" s="46">
        <f t="shared" si="62"/>
        <v>0</v>
      </c>
      <c r="U180" s="46">
        <f t="shared" si="74"/>
        <v>0</v>
      </c>
      <c r="V180">
        <v>81</v>
      </c>
      <c r="W180" s="46">
        <f t="shared" si="75"/>
        <v>20.25</v>
      </c>
      <c r="X180" s="22">
        <f t="shared" si="76"/>
        <v>61.2</v>
      </c>
      <c r="Y180" s="10">
        <f t="shared" si="77"/>
        <v>643.47</v>
      </c>
      <c r="Z180" s="72">
        <v>2430457125.6700001</v>
      </c>
      <c r="AA180" s="71">
        <v>6832</v>
      </c>
      <c r="AB180" s="22">
        <f t="shared" si="63"/>
        <v>355746.07</v>
      </c>
      <c r="AC180" s="9">
        <f t="shared" si="64"/>
        <v>1.2911760000000001</v>
      </c>
      <c r="AD180" s="71">
        <v>76172</v>
      </c>
      <c r="AE180" s="9">
        <f t="shared" si="65"/>
        <v>0.52405800000000002</v>
      </c>
      <c r="AF180" s="9">
        <f t="shared" si="84"/>
        <v>-6.1040999999999998E-2</v>
      </c>
      <c r="AG180" s="49">
        <f t="shared" si="66"/>
        <v>0.01</v>
      </c>
      <c r="AH180" s="50">
        <f t="shared" si="67"/>
        <v>0</v>
      </c>
      <c r="AI180" s="51">
        <f t="shared" si="78"/>
        <v>0.01</v>
      </c>
      <c r="AJ180">
        <v>0</v>
      </c>
      <c r="AK180">
        <v>0</v>
      </c>
      <c r="AL180" s="21">
        <f t="shared" si="79"/>
        <v>0</v>
      </c>
      <c r="AM180">
        <v>0</v>
      </c>
      <c r="AN180">
        <v>0</v>
      </c>
      <c r="AO180" s="21">
        <f t="shared" si="80"/>
        <v>0</v>
      </c>
      <c r="AP180" s="21">
        <f t="shared" si="68"/>
        <v>74160</v>
      </c>
      <c r="AQ180" s="21">
        <f t="shared" si="81"/>
        <v>74160</v>
      </c>
      <c r="AR180" s="48">
        <v>70393</v>
      </c>
      <c r="AS180" s="48">
        <f t="shared" si="85"/>
        <v>74160</v>
      </c>
      <c r="AT180" s="71">
        <v>80365</v>
      </c>
      <c r="AU180" s="21">
        <f t="shared" si="86"/>
        <v>6205</v>
      </c>
      <c r="AV180" s="52" t="str">
        <f t="shared" si="88"/>
        <v>No</v>
      </c>
      <c r="AW180" s="48">
        <f t="shared" si="82"/>
        <v>0</v>
      </c>
      <c r="AX180" s="53">
        <f t="shared" si="83"/>
        <v>80365</v>
      </c>
      <c r="AY180" s="54">
        <f t="shared" si="87"/>
        <v>80365</v>
      </c>
      <c r="AZ180" s="55"/>
      <c r="BA180" s="55"/>
      <c r="BB180" s="55"/>
      <c r="BC180" s="55"/>
      <c r="BD180" s="55"/>
    </row>
    <row r="181" spans="1:56" x14ac:dyDescent="0.5">
      <c r="A181" s="5" t="s">
        <v>77</v>
      </c>
      <c r="B181" s="5"/>
      <c r="C181" s="33"/>
      <c r="D181" s="33"/>
      <c r="E181" s="33"/>
      <c r="F181" s="2">
        <v>7</v>
      </c>
      <c r="G181">
        <v>0</v>
      </c>
      <c r="H181" s="5">
        <v>155</v>
      </c>
      <c r="I181" s="2" t="s">
        <v>234</v>
      </c>
      <c r="J181" s="45"/>
      <c r="K181">
        <v>9224.3799999999992</v>
      </c>
      <c r="L181"/>
      <c r="M181">
        <v>2477</v>
      </c>
      <c r="N181" s="46">
        <f t="shared" si="69"/>
        <v>743.1</v>
      </c>
      <c r="O181" s="46">
        <f t="shared" si="70"/>
        <v>5534.63</v>
      </c>
      <c r="P181" s="46">
        <f t="shared" si="71"/>
        <v>0</v>
      </c>
      <c r="Q181" s="46">
        <f t="shared" si="72"/>
        <v>0</v>
      </c>
      <c r="R181" s="47">
        <f t="shared" si="73"/>
        <v>0.27</v>
      </c>
      <c r="S181" s="47">
        <f t="shared" si="61"/>
        <v>0</v>
      </c>
      <c r="T181" s="46">
        <f t="shared" si="62"/>
        <v>0</v>
      </c>
      <c r="U181" s="46">
        <f t="shared" si="74"/>
        <v>0</v>
      </c>
      <c r="V181">
        <v>782</v>
      </c>
      <c r="W181" s="46">
        <f t="shared" si="75"/>
        <v>195.5</v>
      </c>
      <c r="X181" s="22">
        <f t="shared" si="76"/>
        <v>743.1</v>
      </c>
      <c r="Y181" s="10">
        <f t="shared" si="77"/>
        <v>10162.98</v>
      </c>
      <c r="Z181" s="72">
        <v>13242419567.33</v>
      </c>
      <c r="AA181" s="71">
        <v>63809</v>
      </c>
      <c r="AB181" s="22">
        <f t="shared" si="63"/>
        <v>207532.16</v>
      </c>
      <c r="AC181" s="9">
        <f t="shared" si="64"/>
        <v>0.75323600000000002</v>
      </c>
      <c r="AD181" s="71">
        <v>125616</v>
      </c>
      <c r="AE181" s="9">
        <f t="shared" si="65"/>
        <v>0.864228</v>
      </c>
      <c r="AF181" s="9">
        <f t="shared" si="84"/>
        <v>0.21346599999999999</v>
      </c>
      <c r="AG181" s="49">
        <f t="shared" si="66"/>
        <v>0.21346599999999999</v>
      </c>
      <c r="AH181" s="50">
        <f t="shared" si="67"/>
        <v>0</v>
      </c>
      <c r="AI181" s="51">
        <f t="shared" si="78"/>
        <v>0.21346599999999999</v>
      </c>
      <c r="AJ181">
        <v>0</v>
      </c>
      <c r="AK181">
        <v>0</v>
      </c>
      <c r="AL181" s="21">
        <f t="shared" si="79"/>
        <v>0</v>
      </c>
      <c r="AM181">
        <v>0</v>
      </c>
      <c r="AN181">
        <v>0</v>
      </c>
      <c r="AO181" s="21">
        <f t="shared" si="80"/>
        <v>0</v>
      </c>
      <c r="AP181" s="21">
        <f t="shared" si="68"/>
        <v>25002919</v>
      </c>
      <c r="AQ181" s="21">
        <f t="shared" si="81"/>
        <v>25002919</v>
      </c>
      <c r="AR181" s="48">
        <v>20961352</v>
      </c>
      <c r="AS181" s="48">
        <f t="shared" si="85"/>
        <v>25002919</v>
      </c>
      <c r="AT181" s="71">
        <v>25567009</v>
      </c>
      <c r="AU181" s="21">
        <f t="shared" si="86"/>
        <v>564090</v>
      </c>
      <c r="AV181" s="52" t="str">
        <f t="shared" si="88"/>
        <v>No</v>
      </c>
      <c r="AW181" s="48">
        <f t="shared" si="82"/>
        <v>0</v>
      </c>
      <c r="AX181" s="53">
        <f t="shared" si="83"/>
        <v>25567009</v>
      </c>
      <c r="AY181" s="54">
        <f t="shared" si="87"/>
        <v>25567009</v>
      </c>
      <c r="AZ181" s="55"/>
      <c r="BA181" s="55"/>
      <c r="BB181" s="55"/>
      <c r="BC181" s="55"/>
      <c r="BD181" s="55"/>
    </row>
    <row r="182" spans="1:56" x14ac:dyDescent="0.5">
      <c r="A182" s="5" t="s">
        <v>73</v>
      </c>
      <c r="B182" s="5"/>
      <c r="C182" s="33">
        <v>1</v>
      </c>
      <c r="D182" s="33">
        <v>1</v>
      </c>
      <c r="E182" s="33"/>
      <c r="F182" s="2">
        <v>10</v>
      </c>
      <c r="G182">
        <v>12</v>
      </c>
      <c r="H182" s="5">
        <v>156</v>
      </c>
      <c r="I182" s="2" t="s">
        <v>235</v>
      </c>
      <c r="J182" s="45"/>
      <c r="K182">
        <v>6734.5</v>
      </c>
      <c r="L182"/>
      <c r="M182">
        <v>3968</v>
      </c>
      <c r="N182" s="46">
        <f t="shared" si="69"/>
        <v>1190.4000000000001</v>
      </c>
      <c r="O182" s="46">
        <f t="shared" si="70"/>
        <v>4040.7</v>
      </c>
      <c r="P182" s="46">
        <f t="shared" si="71"/>
        <v>0</v>
      </c>
      <c r="Q182" s="46">
        <f t="shared" si="72"/>
        <v>0</v>
      </c>
      <c r="R182" s="47">
        <f t="shared" si="73"/>
        <v>0.59</v>
      </c>
      <c r="S182" s="47">
        <f t="shared" si="61"/>
        <v>0</v>
      </c>
      <c r="T182" s="46">
        <f t="shared" si="62"/>
        <v>0</v>
      </c>
      <c r="U182" s="46">
        <f t="shared" si="74"/>
        <v>0</v>
      </c>
      <c r="V182">
        <v>1449</v>
      </c>
      <c r="W182" s="46">
        <f t="shared" si="75"/>
        <v>362.25</v>
      </c>
      <c r="X182" s="22">
        <f t="shared" si="76"/>
        <v>1190.4000000000001</v>
      </c>
      <c r="Y182" s="10">
        <f t="shared" si="77"/>
        <v>8287.15</v>
      </c>
      <c r="Z182" s="72">
        <v>6479282249</v>
      </c>
      <c r="AA182" s="71">
        <v>55147</v>
      </c>
      <c r="AB182" s="22">
        <f t="shared" si="63"/>
        <v>117491.11</v>
      </c>
      <c r="AC182" s="9">
        <f t="shared" si="64"/>
        <v>0.42643300000000001</v>
      </c>
      <c r="AD182" s="71">
        <v>73566</v>
      </c>
      <c r="AE182" s="9">
        <f t="shared" si="65"/>
        <v>0.50612800000000002</v>
      </c>
      <c r="AF182" s="9">
        <f t="shared" si="84"/>
        <v>0.54965900000000001</v>
      </c>
      <c r="AG182" s="49">
        <f t="shared" si="66"/>
        <v>0.54965900000000001</v>
      </c>
      <c r="AH182" s="50">
        <f t="shared" si="67"/>
        <v>0.04</v>
      </c>
      <c r="AI182" s="51">
        <f t="shared" si="78"/>
        <v>0.58965900000000004</v>
      </c>
      <c r="AJ182">
        <v>0</v>
      </c>
      <c r="AK182">
        <v>0</v>
      </c>
      <c r="AL182" s="21">
        <f t="shared" si="79"/>
        <v>0</v>
      </c>
      <c r="AM182">
        <v>0</v>
      </c>
      <c r="AN182">
        <v>0</v>
      </c>
      <c r="AO182" s="21">
        <f t="shared" si="80"/>
        <v>0</v>
      </c>
      <c r="AP182" s="21">
        <f t="shared" si="68"/>
        <v>56317980</v>
      </c>
      <c r="AQ182" s="21">
        <f t="shared" si="81"/>
        <v>56317980</v>
      </c>
      <c r="AR182" s="48">
        <v>45140487</v>
      </c>
      <c r="AS182" s="48">
        <f t="shared" si="85"/>
        <v>59004684</v>
      </c>
      <c r="AT182" s="71">
        <v>59004684</v>
      </c>
      <c r="AU182" s="21">
        <f t="shared" si="86"/>
        <v>2686704</v>
      </c>
      <c r="AV182" s="52" t="str">
        <f t="shared" si="88"/>
        <v>No</v>
      </c>
      <c r="AW182" s="48">
        <f t="shared" si="82"/>
        <v>0</v>
      </c>
      <c r="AX182" s="53">
        <f t="shared" si="83"/>
        <v>59004684</v>
      </c>
      <c r="AY182" s="54">
        <f t="shared" si="87"/>
        <v>59004684</v>
      </c>
      <c r="AZ182" s="55"/>
      <c r="BA182" s="55"/>
      <c r="BB182" s="55"/>
      <c r="BC182" s="55"/>
      <c r="BD182" s="55"/>
    </row>
    <row r="183" spans="1:56" x14ac:dyDescent="0.5">
      <c r="A183" s="5" t="s">
        <v>113</v>
      </c>
      <c r="B183" s="5"/>
      <c r="C183" s="33"/>
      <c r="D183" s="33"/>
      <c r="E183" s="33"/>
      <c r="F183" s="2">
        <v>1</v>
      </c>
      <c r="G183">
        <v>0</v>
      </c>
      <c r="H183" s="5">
        <v>157</v>
      </c>
      <c r="I183" s="2" t="s">
        <v>236</v>
      </c>
      <c r="J183" s="45"/>
      <c r="K183">
        <v>1979.67</v>
      </c>
      <c r="L183"/>
      <c r="M183">
        <v>31</v>
      </c>
      <c r="N183" s="46">
        <f t="shared" si="69"/>
        <v>9.3000000000000007</v>
      </c>
      <c r="O183" s="46">
        <f t="shared" si="70"/>
        <v>1187.8</v>
      </c>
      <c r="P183" s="46">
        <f t="shared" si="71"/>
        <v>0</v>
      </c>
      <c r="Q183" s="46">
        <f t="shared" si="72"/>
        <v>0</v>
      </c>
      <c r="R183" s="47">
        <f t="shared" si="73"/>
        <v>0.02</v>
      </c>
      <c r="S183" s="47">
        <f t="shared" si="61"/>
        <v>0</v>
      </c>
      <c r="T183" s="46">
        <f t="shared" si="62"/>
        <v>0</v>
      </c>
      <c r="U183" s="46">
        <f t="shared" si="74"/>
        <v>0</v>
      </c>
      <c r="V183">
        <v>26</v>
      </c>
      <c r="W183" s="46">
        <f t="shared" si="75"/>
        <v>6.5</v>
      </c>
      <c r="X183" s="22">
        <f t="shared" si="76"/>
        <v>9.3000000000000007</v>
      </c>
      <c r="Y183" s="10">
        <f t="shared" si="77"/>
        <v>1995.47</v>
      </c>
      <c r="Z183" s="72">
        <v>4606182583.3299999</v>
      </c>
      <c r="AA183" s="71">
        <v>10335</v>
      </c>
      <c r="AB183" s="22">
        <f t="shared" si="63"/>
        <v>445687.72</v>
      </c>
      <c r="AC183" s="9">
        <f t="shared" si="64"/>
        <v>1.6176189999999999</v>
      </c>
      <c r="AD183" s="71">
        <v>250000</v>
      </c>
      <c r="AE183" s="9">
        <f t="shared" si="65"/>
        <v>1.719981</v>
      </c>
      <c r="AF183" s="9">
        <f t="shared" si="84"/>
        <v>-0.64832800000000002</v>
      </c>
      <c r="AG183" s="49">
        <f t="shared" si="66"/>
        <v>0.01</v>
      </c>
      <c r="AH183" s="50">
        <f t="shared" si="67"/>
        <v>0</v>
      </c>
      <c r="AI183" s="51">
        <f t="shared" si="78"/>
        <v>0.01</v>
      </c>
      <c r="AJ183">
        <v>0</v>
      </c>
      <c r="AK183">
        <v>0</v>
      </c>
      <c r="AL183" s="21">
        <f t="shared" si="79"/>
        <v>0</v>
      </c>
      <c r="AM183">
        <v>0</v>
      </c>
      <c r="AN183">
        <v>0</v>
      </c>
      <c r="AO183" s="21">
        <f t="shared" si="80"/>
        <v>0</v>
      </c>
      <c r="AP183" s="21">
        <f t="shared" si="68"/>
        <v>229978</v>
      </c>
      <c r="AQ183" s="21">
        <f t="shared" si="81"/>
        <v>229978</v>
      </c>
      <c r="AR183" s="48">
        <v>263431</v>
      </c>
      <c r="AS183" s="48">
        <f t="shared" si="85"/>
        <v>229978</v>
      </c>
      <c r="AT183" s="71">
        <v>263792</v>
      </c>
      <c r="AU183" s="21">
        <f t="shared" si="86"/>
        <v>33814</v>
      </c>
      <c r="AV183" s="52" t="str">
        <f t="shared" si="88"/>
        <v>No</v>
      </c>
      <c r="AW183" s="48">
        <f t="shared" si="82"/>
        <v>0</v>
      </c>
      <c r="AX183" s="53">
        <f t="shared" si="83"/>
        <v>263792</v>
      </c>
      <c r="AY183" s="54">
        <f t="shared" si="87"/>
        <v>263792</v>
      </c>
      <c r="AZ183" s="55"/>
      <c r="BA183" s="55"/>
      <c r="BB183" s="55"/>
      <c r="BC183" s="55"/>
      <c r="BD183" s="55"/>
    </row>
    <row r="184" spans="1:56" x14ac:dyDescent="0.5">
      <c r="A184" s="5" t="s">
        <v>113</v>
      </c>
      <c r="B184" s="5"/>
      <c r="C184" s="33"/>
      <c r="D184" s="33"/>
      <c r="E184" s="33"/>
      <c r="F184" s="2">
        <v>1</v>
      </c>
      <c r="G184">
        <v>0</v>
      </c>
      <c r="H184" s="5">
        <v>158</v>
      </c>
      <c r="I184" s="2" t="s">
        <v>237</v>
      </c>
      <c r="J184" s="45"/>
      <c r="K184">
        <v>5225.13</v>
      </c>
      <c r="L184"/>
      <c r="M184">
        <v>162</v>
      </c>
      <c r="N184" s="46">
        <f t="shared" si="69"/>
        <v>48.6</v>
      </c>
      <c r="O184" s="46">
        <f t="shared" si="70"/>
        <v>3135.08</v>
      </c>
      <c r="P184" s="46">
        <f t="shared" si="71"/>
        <v>0</v>
      </c>
      <c r="Q184" s="46">
        <f t="shared" si="72"/>
        <v>0</v>
      </c>
      <c r="R184" s="47">
        <f t="shared" si="73"/>
        <v>0.03</v>
      </c>
      <c r="S184" s="47">
        <f t="shared" si="61"/>
        <v>0</v>
      </c>
      <c r="T184" s="46">
        <f t="shared" si="62"/>
        <v>0</v>
      </c>
      <c r="U184" s="46">
        <f t="shared" si="74"/>
        <v>0</v>
      </c>
      <c r="V184">
        <v>52</v>
      </c>
      <c r="W184" s="46">
        <f t="shared" si="75"/>
        <v>13</v>
      </c>
      <c r="X184" s="22">
        <f t="shared" si="76"/>
        <v>48.6</v>
      </c>
      <c r="Y184" s="10">
        <f t="shared" si="77"/>
        <v>5286.7300000000005</v>
      </c>
      <c r="Z184" s="72">
        <v>22734151154.330002</v>
      </c>
      <c r="AA184" s="71">
        <v>27282</v>
      </c>
      <c r="AB184" s="22">
        <f t="shared" si="63"/>
        <v>833302.22</v>
      </c>
      <c r="AC184" s="9">
        <f t="shared" si="64"/>
        <v>3.0244610000000001</v>
      </c>
      <c r="AD184" s="71">
        <v>250000</v>
      </c>
      <c r="AE184" s="9">
        <f t="shared" si="65"/>
        <v>1.719981</v>
      </c>
      <c r="AF184" s="9">
        <f t="shared" si="84"/>
        <v>-1.6331169999999999</v>
      </c>
      <c r="AG184" s="49">
        <f t="shared" si="66"/>
        <v>0.01</v>
      </c>
      <c r="AH184" s="50">
        <f t="shared" si="67"/>
        <v>0</v>
      </c>
      <c r="AI184" s="51">
        <f t="shared" si="78"/>
        <v>0.01</v>
      </c>
      <c r="AJ184">
        <v>0</v>
      </c>
      <c r="AK184">
        <v>0</v>
      </c>
      <c r="AL184" s="21">
        <f t="shared" si="79"/>
        <v>0</v>
      </c>
      <c r="AM184">
        <v>0</v>
      </c>
      <c r="AN184">
        <v>0</v>
      </c>
      <c r="AO184" s="21">
        <f t="shared" si="80"/>
        <v>0</v>
      </c>
      <c r="AP184" s="21">
        <f t="shared" si="68"/>
        <v>609296</v>
      </c>
      <c r="AQ184" s="21">
        <f t="shared" si="81"/>
        <v>609296</v>
      </c>
      <c r="AR184" s="48">
        <v>465334</v>
      </c>
      <c r="AS184" s="48">
        <f t="shared" si="85"/>
        <v>609296</v>
      </c>
      <c r="AT184" s="71">
        <v>610400</v>
      </c>
      <c r="AU184" s="21">
        <f t="shared" si="86"/>
        <v>1104</v>
      </c>
      <c r="AV184" s="52" t="str">
        <f t="shared" si="88"/>
        <v>No</v>
      </c>
      <c r="AW184" s="48">
        <f t="shared" si="82"/>
        <v>0</v>
      </c>
      <c r="AX184" s="53">
        <f t="shared" si="83"/>
        <v>610400</v>
      </c>
      <c r="AY184" s="54">
        <f t="shared" si="87"/>
        <v>610400</v>
      </c>
      <c r="AZ184" s="55"/>
      <c r="BA184" s="55"/>
      <c r="BB184" s="55"/>
      <c r="BC184" s="55"/>
      <c r="BD184" s="55"/>
    </row>
    <row r="185" spans="1:56" x14ac:dyDescent="0.5">
      <c r="A185" s="5" t="s">
        <v>81</v>
      </c>
      <c r="B185" s="5"/>
      <c r="C185" s="33"/>
      <c r="D185" s="33"/>
      <c r="E185" s="33"/>
      <c r="F185" s="2">
        <v>8</v>
      </c>
      <c r="G185">
        <v>0</v>
      </c>
      <c r="H185" s="5">
        <v>159</v>
      </c>
      <c r="I185" s="2" t="s">
        <v>238</v>
      </c>
      <c r="J185" s="45"/>
      <c r="K185">
        <v>3586.81</v>
      </c>
      <c r="L185"/>
      <c r="M185">
        <v>987</v>
      </c>
      <c r="N185" s="46">
        <f t="shared" si="69"/>
        <v>296.10000000000002</v>
      </c>
      <c r="O185" s="46">
        <f t="shared" si="70"/>
        <v>2152.09</v>
      </c>
      <c r="P185" s="46">
        <f t="shared" si="71"/>
        <v>0</v>
      </c>
      <c r="Q185" s="46">
        <f t="shared" si="72"/>
        <v>0</v>
      </c>
      <c r="R185" s="47">
        <f t="shared" si="73"/>
        <v>0.28000000000000003</v>
      </c>
      <c r="S185" s="47">
        <f t="shared" si="61"/>
        <v>0</v>
      </c>
      <c r="T185" s="46">
        <f t="shared" si="62"/>
        <v>0</v>
      </c>
      <c r="U185" s="46">
        <f t="shared" si="74"/>
        <v>0</v>
      </c>
      <c r="V185">
        <v>336</v>
      </c>
      <c r="W185" s="46">
        <f t="shared" si="75"/>
        <v>84</v>
      </c>
      <c r="X185" s="22">
        <f t="shared" si="76"/>
        <v>296.10000000000002</v>
      </c>
      <c r="Y185" s="10">
        <f t="shared" si="77"/>
        <v>3966.91</v>
      </c>
      <c r="Z185" s="72">
        <v>4838308465.6700001</v>
      </c>
      <c r="AA185" s="71">
        <v>27180</v>
      </c>
      <c r="AB185" s="22">
        <f t="shared" si="63"/>
        <v>178009.88</v>
      </c>
      <c r="AC185" s="9">
        <f t="shared" si="64"/>
        <v>0.64608500000000002</v>
      </c>
      <c r="AD185" s="71">
        <v>118523</v>
      </c>
      <c r="AE185" s="9">
        <f t="shared" si="65"/>
        <v>0.81542899999999996</v>
      </c>
      <c r="AF185" s="9">
        <f t="shared" si="84"/>
        <v>0.30311199999999999</v>
      </c>
      <c r="AG185" s="49">
        <f t="shared" si="66"/>
        <v>0.30311199999999999</v>
      </c>
      <c r="AH185" s="50">
        <f t="shared" si="67"/>
        <v>0</v>
      </c>
      <c r="AI185" s="51">
        <f t="shared" si="78"/>
        <v>0.30311199999999999</v>
      </c>
      <c r="AJ185">
        <v>0</v>
      </c>
      <c r="AK185">
        <v>0</v>
      </c>
      <c r="AL185" s="21">
        <f t="shared" si="79"/>
        <v>0</v>
      </c>
      <c r="AM185">
        <v>0</v>
      </c>
      <c r="AN185">
        <v>0</v>
      </c>
      <c r="AO185" s="21">
        <f t="shared" si="80"/>
        <v>0</v>
      </c>
      <c r="AP185" s="21">
        <f t="shared" si="68"/>
        <v>13857868</v>
      </c>
      <c r="AQ185" s="21">
        <f t="shared" si="81"/>
        <v>13857868</v>
      </c>
      <c r="AR185" s="48">
        <v>9348852</v>
      </c>
      <c r="AS185" s="48">
        <f t="shared" si="85"/>
        <v>13857868</v>
      </c>
      <c r="AT185" s="71">
        <v>14726361</v>
      </c>
      <c r="AU185" s="21">
        <f t="shared" si="86"/>
        <v>868493</v>
      </c>
      <c r="AV185" s="52" t="str">
        <f t="shared" si="88"/>
        <v>No</v>
      </c>
      <c r="AW185" s="48">
        <f t="shared" si="82"/>
        <v>0</v>
      </c>
      <c r="AX185" s="53">
        <f t="shared" si="83"/>
        <v>14726361</v>
      </c>
      <c r="AY185" s="54">
        <f t="shared" si="87"/>
        <v>14726361</v>
      </c>
      <c r="AZ185" s="55"/>
      <c r="BA185" s="55"/>
      <c r="BB185" s="55"/>
      <c r="BC185" s="55"/>
      <c r="BD185" s="55"/>
    </row>
    <row r="186" spans="1:56" x14ac:dyDescent="0.5">
      <c r="A186" s="5" t="s">
        <v>75</v>
      </c>
      <c r="B186" s="5"/>
      <c r="C186" s="33"/>
      <c r="D186" s="33"/>
      <c r="E186" s="33"/>
      <c r="F186" s="2">
        <v>8</v>
      </c>
      <c r="G186">
        <v>0</v>
      </c>
      <c r="H186" s="5">
        <v>160</v>
      </c>
      <c r="I186" s="2" t="s">
        <v>239</v>
      </c>
      <c r="J186" s="45"/>
      <c r="K186">
        <v>561.49</v>
      </c>
      <c r="L186"/>
      <c r="M186">
        <v>164</v>
      </c>
      <c r="N186" s="46">
        <f t="shared" si="69"/>
        <v>49.2</v>
      </c>
      <c r="O186" s="46">
        <f t="shared" si="70"/>
        <v>336.89</v>
      </c>
      <c r="P186" s="46">
        <f t="shared" si="71"/>
        <v>0</v>
      </c>
      <c r="Q186" s="46">
        <f t="shared" si="72"/>
        <v>0</v>
      </c>
      <c r="R186" s="47">
        <f t="shared" si="73"/>
        <v>0.28999999999999998</v>
      </c>
      <c r="S186" s="47">
        <f t="shared" si="61"/>
        <v>0</v>
      </c>
      <c r="T186" s="46">
        <f t="shared" si="62"/>
        <v>0</v>
      </c>
      <c r="U186" s="46">
        <f t="shared" si="74"/>
        <v>0</v>
      </c>
      <c r="V186">
        <v>13</v>
      </c>
      <c r="W186" s="46">
        <f t="shared" si="75"/>
        <v>3.25</v>
      </c>
      <c r="X186" s="22">
        <f t="shared" si="76"/>
        <v>49.2</v>
      </c>
      <c r="Y186" s="10">
        <f t="shared" si="77"/>
        <v>613.94000000000005</v>
      </c>
      <c r="Z186" s="72">
        <v>937976249.66999996</v>
      </c>
      <c r="AA186" s="71">
        <v>5563</v>
      </c>
      <c r="AB186" s="22">
        <f t="shared" si="63"/>
        <v>168609.79</v>
      </c>
      <c r="AC186" s="9">
        <f t="shared" si="64"/>
        <v>0.61196700000000004</v>
      </c>
      <c r="AD186" s="71">
        <v>88370</v>
      </c>
      <c r="AE186" s="9">
        <f t="shared" si="65"/>
        <v>0.60797900000000005</v>
      </c>
      <c r="AF186" s="9">
        <f t="shared" si="84"/>
        <v>0.38922899999999999</v>
      </c>
      <c r="AG186" s="49">
        <f t="shared" si="66"/>
        <v>0.38922899999999999</v>
      </c>
      <c r="AH186" s="50">
        <f t="shared" si="67"/>
        <v>0</v>
      </c>
      <c r="AI186" s="51">
        <f t="shared" si="78"/>
        <v>0.38922899999999999</v>
      </c>
      <c r="AJ186">
        <v>176</v>
      </c>
      <c r="AK186">
        <v>4</v>
      </c>
      <c r="AL186" s="21">
        <f t="shared" si="79"/>
        <v>70400</v>
      </c>
      <c r="AM186">
        <v>0</v>
      </c>
      <c r="AN186">
        <v>0</v>
      </c>
      <c r="AO186" s="21">
        <f t="shared" si="80"/>
        <v>0</v>
      </c>
      <c r="AP186" s="21">
        <f t="shared" si="68"/>
        <v>2754051</v>
      </c>
      <c r="AQ186" s="21">
        <f t="shared" si="81"/>
        <v>2824451</v>
      </c>
      <c r="AR186" s="48">
        <v>3637161</v>
      </c>
      <c r="AS186" s="48">
        <f t="shared" si="85"/>
        <v>2824451</v>
      </c>
      <c r="AT186" s="71">
        <v>3456594</v>
      </c>
      <c r="AU186" s="21">
        <f t="shared" si="86"/>
        <v>632143</v>
      </c>
      <c r="AV186" s="52" t="str">
        <f t="shared" si="88"/>
        <v>No</v>
      </c>
      <c r="AW186" s="48">
        <f t="shared" si="82"/>
        <v>0</v>
      </c>
      <c r="AX186" s="53">
        <f t="shared" si="83"/>
        <v>3456594</v>
      </c>
      <c r="AY186" s="54">
        <f t="shared" si="87"/>
        <v>3456594</v>
      </c>
      <c r="AZ186" s="55"/>
      <c r="BA186" s="55"/>
      <c r="BB186" s="55"/>
      <c r="BC186" s="55"/>
      <c r="BD186" s="55"/>
    </row>
    <row r="187" spans="1:56" x14ac:dyDescent="0.5">
      <c r="A187" s="5" t="s">
        <v>113</v>
      </c>
      <c r="B187" s="5"/>
      <c r="C187" s="33"/>
      <c r="D187" s="33"/>
      <c r="E187" s="33"/>
      <c r="F187" s="2">
        <v>1</v>
      </c>
      <c r="G187">
        <v>0</v>
      </c>
      <c r="H187" s="5">
        <v>161</v>
      </c>
      <c r="I187" s="2" t="s">
        <v>240</v>
      </c>
      <c r="J187" s="45"/>
      <c r="K187">
        <v>3648.92</v>
      </c>
      <c r="L187"/>
      <c r="M187">
        <v>203</v>
      </c>
      <c r="N187" s="46">
        <f t="shared" si="69"/>
        <v>60.9</v>
      </c>
      <c r="O187" s="46">
        <f t="shared" si="70"/>
        <v>2189.35</v>
      </c>
      <c r="P187" s="46">
        <f t="shared" si="71"/>
        <v>0</v>
      </c>
      <c r="Q187" s="46">
        <f t="shared" si="72"/>
        <v>0</v>
      </c>
      <c r="R187" s="47">
        <f t="shared" si="73"/>
        <v>0.06</v>
      </c>
      <c r="S187" s="47">
        <f t="shared" si="61"/>
        <v>0</v>
      </c>
      <c r="T187" s="46">
        <f t="shared" si="62"/>
        <v>0</v>
      </c>
      <c r="U187" s="46">
        <f t="shared" si="74"/>
        <v>0</v>
      </c>
      <c r="V187">
        <v>62</v>
      </c>
      <c r="W187" s="46">
        <f t="shared" si="75"/>
        <v>15.5</v>
      </c>
      <c r="X187" s="22">
        <f t="shared" si="76"/>
        <v>60.9</v>
      </c>
      <c r="Y187" s="10">
        <f t="shared" si="77"/>
        <v>3725.32</v>
      </c>
      <c r="Z187" s="72">
        <v>8047974263.6700001</v>
      </c>
      <c r="AA187" s="71">
        <v>18439</v>
      </c>
      <c r="AB187" s="22">
        <f t="shared" si="63"/>
        <v>436464.79</v>
      </c>
      <c r="AC187" s="9">
        <f t="shared" si="64"/>
        <v>1.584144</v>
      </c>
      <c r="AD187" s="71">
        <v>227165</v>
      </c>
      <c r="AE187" s="9">
        <f t="shared" si="65"/>
        <v>1.562878</v>
      </c>
      <c r="AF187" s="9">
        <f t="shared" si="84"/>
        <v>-0.57776400000000006</v>
      </c>
      <c r="AG187" s="49">
        <f t="shared" si="66"/>
        <v>0.01</v>
      </c>
      <c r="AH187" s="50">
        <f t="shared" si="67"/>
        <v>0</v>
      </c>
      <c r="AI187" s="51">
        <f t="shared" si="78"/>
        <v>0.01</v>
      </c>
      <c r="AJ187">
        <v>0</v>
      </c>
      <c r="AK187">
        <v>0</v>
      </c>
      <c r="AL187" s="21">
        <f t="shared" si="79"/>
        <v>0</v>
      </c>
      <c r="AM187">
        <v>0</v>
      </c>
      <c r="AN187">
        <v>0</v>
      </c>
      <c r="AO187" s="21">
        <f t="shared" si="80"/>
        <v>0</v>
      </c>
      <c r="AP187" s="21">
        <f t="shared" si="68"/>
        <v>429343</v>
      </c>
      <c r="AQ187" s="21">
        <f t="shared" si="81"/>
        <v>429343</v>
      </c>
      <c r="AR187" s="48">
        <v>462941</v>
      </c>
      <c r="AS187" s="48">
        <f t="shared" si="85"/>
        <v>429343</v>
      </c>
      <c r="AT187" s="71">
        <v>461796</v>
      </c>
      <c r="AU187" s="21">
        <f t="shared" si="86"/>
        <v>32453</v>
      </c>
      <c r="AV187" s="52" t="str">
        <f t="shared" si="88"/>
        <v>No</v>
      </c>
      <c r="AW187" s="48">
        <f t="shared" si="82"/>
        <v>0</v>
      </c>
      <c r="AX187" s="53">
        <f t="shared" si="83"/>
        <v>461796</v>
      </c>
      <c r="AY187" s="54">
        <f t="shared" si="87"/>
        <v>461796</v>
      </c>
      <c r="AZ187" s="55"/>
      <c r="BA187" s="55"/>
      <c r="BB187" s="55"/>
      <c r="BC187" s="55"/>
      <c r="BD187" s="55"/>
    </row>
    <row r="188" spans="1:56" x14ac:dyDescent="0.5">
      <c r="A188" s="5" t="s">
        <v>86</v>
      </c>
      <c r="B188" s="5"/>
      <c r="C188" s="57">
        <v>1</v>
      </c>
      <c r="D188" s="57">
        <v>1</v>
      </c>
      <c r="E188" s="33"/>
      <c r="F188" s="2">
        <v>9</v>
      </c>
      <c r="G188">
        <v>20</v>
      </c>
      <c r="H188" s="5">
        <v>162</v>
      </c>
      <c r="I188" s="2" t="s">
        <v>241</v>
      </c>
      <c r="J188" s="45"/>
      <c r="K188">
        <v>1084.8599999999999</v>
      </c>
      <c r="L188"/>
      <c r="M188">
        <v>640</v>
      </c>
      <c r="N188" s="46">
        <f t="shared" si="69"/>
        <v>192</v>
      </c>
      <c r="O188" s="46">
        <f t="shared" si="70"/>
        <v>650.91999999999996</v>
      </c>
      <c r="P188" s="46">
        <f t="shared" si="71"/>
        <v>0</v>
      </c>
      <c r="Q188" s="46">
        <f t="shared" si="72"/>
        <v>0</v>
      </c>
      <c r="R188" s="47">
        <f t="shared" si="73"/>
        <v>0.59</v>
      </c>
      <c r="S188" s="47">
        <f t="shared" si="61"/>
        <v>0</v>
      </c>
      <c r="T188" s="46">
        <f t="shared" si="62"/>
        <v>0</v>
      </c>
      <c r="U188" s="46">
        <f t="shared" si="74"/>
        <v>0</v>
      </c>
      <c r="V188">
        <v>46</v>
      </c>
      <c r="W188" s="46">
        <f t="shared" si="75"/>
        <v>11.5</v>
      </c>
      <c r="X188" s="22">
        <f t="shared" si="76"/>
        <v>192</v>
      </c>
      <c r="Y188" s="10">
        <f t="shared" si="77"/>
        <v>1288.3599999999999</v>
      </c>
      <c r="Z188" s="72">
        <v>1598757351</v>
      </c>
      <c r="AA188" s="71">
        <v>10242</v>
      </c>
      <c r="AB188" s="22">
        <f t="shared" si="63"/>
        <v>156098.16</v>
      </c>
      <c r="AC188" s="9">
        <f t="shared" si="64"/>
        <v>0.56655699999999998</v>
      </c>
      <c r="AD188" s="71">
        <v>68890</v>
      </c>
      <c r="AE188" s="9">
        <f t="shared" si="65"/>
        <v>0.47395799999999999</v>
      </c>
      <c r="AF188" s="9">
        <f t="shared" si="84"/>
        <v>0.46122299999999999</v>
      </c>
      <c r="AG188" s="49">
        <f t="shared" si="66"/>
        <v>0.46122299999999999</v>
      </c>
      <c r="AH188" s="50">
        <f t="shared" si="67"/>
        <v>0</v>
      </c>
      <c r="AI188" s="51">
        <f t="shared" si="78"/>
        <v>0.46122299999999999</v>
      </c>
      <c r="AJ188">
        <v>0</v>
      </c>
      <c r="AK188">
        <v>0</v>
      </c>
      <c r="AL188" s="21">
        <f t="shared" si="79"/>
        <v>0</v>
      </c>
      <c r="AM188">
        <v>403</v>
      </c>
      <c r="AN188">
        <v>6</v>
      </c>
      <c r="AO188" s="21">
        <f t="shared" si="80"/>
        <v>241800</v>
      </c>
      <c r="AP188" s="21">
        <f t="shared" si="68"/>
        <v>6848400</v>
      </c>
      <c r="AQ188" s="21">
        <f t="shared" si="81"/>
        <v>7090200</v>
      </c>
      <c r="AR188" s="48">
        <v>8024957</v>
      </c>
      <c r="AS188" s="48">
        <f t="shared" si="85"/>
        <v>8024957</v>
      </c>
      <c r="AT188" s="71">
        <v>8024957</v>
      </c>
      <c r="AU188" s="21">
        <f t="shared" si="86"/>
        <v>934757</v>
      </c>
      <c r="AV188" s="52" t="str">
        <f t="shared" si="88"/>
        <v>No</v>
      </c>
      <c r="AW188" s="48">
        <f t="shared" si="82"/>
        <v>0</v>
      </c>
      <c r="AX188" s="53">
        <f t="shared" si="83"/>
        <v>8024957</v>
      </c>
      <c r="AY188" s="54">
        <f t="shared" si="87"/>
        <v>8024957</v>
      </c>
      <c r="AZ188" s="55"/>
      <c r="BA188" s="55"/>
      <c r="BB188" s="55"/>
      <c r="BC188" s="55"/>
      <c r="BD188" s="55"/>
    </row>
    <row r="189" spans="1:56" x14ac:dyDescent="0.5">
      <c r="A189" s="5" t="s">
        <v>91</v>
      </c>
      <c r="B189" s="5">
        <v>1</v>
      </c>
      <c r="C189" s="33">
        <v>1</v>
      </c>
      <c r="D189" s="33">
        <v>0</v>
      </c>
      <c r="E189" s="33">
        <v>1</v>
      </c>
      <c r="F189" s="2">
        <v>10</v>
      </c>
      <c r="G189">
        <v>7</v>
      </c>
      <c r="H189" s="5">
        <v>163</v>
      </c>
      <c r="I189" s="2" t="s">
        <v>242</v>
      </c>
      <c r="J189" s="45"/>
      <c r="K189">
        <v>2985.57</v>
      </c>
      <c r="L189"/>
      <c r="M189">
        <v>2258</v>
      </c>
      <c r="N189" s="46">
        <f t="shared" si="69"/>
        <v>677.4</v>
      </c>
      <c r="O189" s="46">
        <f t="shared" si="70"/>
        <v>1791.34</v>
      </c>
      <c r="P189" s="46">
        <f t="shared" si="71"/>
        <v>466.66000000000008</v>
      </c>
      <c r="Q189" s="46">
        <f t="shared" si="72"/>
        <v>70</v>
      </c>
      <c r="R189" s="47">
        <f t="shared" si="73"/>
        <v>0.76</v>
      </c>
      <c r="S189" s="47">
        <f t="shared" si="61"/>
        <v>0.16000000000000003</v>
      </c>
      <c r="T189" s="46">
        <f t="shared" si="62"/>
        <v>477.69</v>
      </c>
      <c r="U189" s="46">
        <f t="shared" si="74"/>
        <v>71.650000000000006</v>
      </c>
      <c r="V189">
        <v>997</v>
      </c>
      <c r="W189" s="46">
        <f t="shared" si="75"/>
        <v>249.25</v>
      </c>
      <c r="X189" s="22">
        <f t="shared" si="76"/>
        <v>677.4</v>
      </c>
      <c r="Y189" s="10">
        <f t="shared" si="77"/>
        <v>3982.2200000000003</v>
      </c>
      <c r="Z189" s="72">
        <v>2024391930.6700001</v>
      </c>
      <c r="AA189" s="71">
        <v>23905</v>
      </c>
      <c r="AB189" s="22">
        <f t="shared" si="63"/>
        <v>84684.87</v>
      </c>
      <c r="AC189" s="9">
        <f t="shared" si="64"/>
        <v>0.307363</v>
      </c>
      <c r="AD189" s="71">
        <v>55034</v>
      </c>
      <c r="AE189" s="9">
        <f t="shared" si="65"/>
        <v>0.37863000000000002</v>
      </c>
      <c r="AF189" s="9">
        <f t="shared" si="84"/>
        <v>0.67125699999999999</v>
      </c>
      <c r="AG189" s="49">
        <f t="shared" si="66"/>
        <v>0.67125699999999999</v>
      </c>
      <c r="AH189" s="50">
        <f t="shared" si="67"/>
        <v>0.05</v>
      </c>
      <c r="AI189" s="51">
        <f t="shared" si="78"/>
        <v>0.72125700000000004</v>
      </c>
      <c r="AJ189">
        <v>0</v>
      </c>
      <c r="AK189">
        <v>0</v>
      </c>
      <c r="AL189" s="21">
        <f t="shared" si="79"/>
        <v>0</v>
      </c>
      <c r="AM189">
        <v>0</v>
      </c>
      <c r="AN189">
        <v>0</v>
      </c>
      <c r="AO189" s="21">
        <f t="shared" si="80"/>
        <v>0</v>
      </c>
      <c r="AP189" s="21">
        <f t="shared" si="68"/>
        <v>33102152</v>
      </c>
      <c r="AQ189" s="21">
        <f t="shared" si="81"/>
        <v>33102152</v>
      </c>
      <c r="AR189" s="48">
        <v>26582071</v>
      </c>
      <c r="AS189" s="48">
        <f t="shared" si="85"/>
        <v>33829263</v>
      </c>
      <c r="AT189" s="71">
        <v>33829263</v>
      </c>
      <c r="AU189" s="21">
        <f t="shared" si="86"/>
        <v>727111</v>
      </c>
      <c r="AV189" s="52" t="str">
        <f t="shared" si="88"/>
        <v>No</v>
      </c>
      <c r="AW189" s="48">
        <f t="shared" si="82"/>
        <v>0</v>
      </c>
      <c r="AX189" s="53">
        <f t="shared" si="83"/>
        <v>33829263</v>
      </c>
      <c r="AY189" s="54">
        <f t="shared" si="87"/>
        <v>33829263</v>
      </c>
      <c r="AZ189" s="55"/>
      <c r="BA189" s="55"/>
      <c r="BB189" s="55"/>
      <c r="BC189" s="55"/>
      <c r="BD189" s="55"/>
    </row>
    <row r="190" spans="1:56" x14ac:dyDescent="0.5">
      <c r="A190" s="5" t="s">
        <v>81</v>
      </c>
      <c r="B190" s="5"/>
      <c r="C190" s="33">
        <v>1</v>
      </c>
      <c r="D190" s="33">
        <v>1</v>
      </c>
      <c r="E190" s="33"/>
      <c r="F190" s="2">
        <v>6</v>
      </c>
      <c r="G190">
        <v>39</v>
      </c>
      <c r="H190" s="5">
        <v>164</v>
      </c>
      <c r="I190" s="2" t="s">
        <v>243</v>
      </c>
      <c r="J190" s="45"/>
      <c r="K190">
        <v>3692.54</v>
      </c>
      <c r="L190"/>
      <c r="M190">
        <v>1893</v>
      </c>
      <c r="N190" s="46">
        <f t="shared" si="69"/>
        <v>567.9</v>
      </c>
      <c r="O190" s="46">
        <f t="shared" si="70"/>
        <v>2215.52</v>
      </c>
      <c r="P190" s="46">
        <f t="shared" si="71"/>
        <v>0</v>
      </c>
      <c r="Q190" s="46">
        <f t="shared" si="72"/>
        <v>0</v>
      </c>
      <c r="R190" s="47">
        <f t="shared" si="73"/>
        <v>0.51</v>
      </c>
      <c r="S190" s="47">
        <f t="shared" si="61"/>
        <v>0</v>
      </c>
      <c r="T190" s="46">
        <f t="shared" si="62"/>
        <v>0</v>
      </c>
      <c r="U190" s="46">
        <f t="shared" si="74"/>
        <v>0</v>
      </c>
      <c r="V190">
        <v>135</v>
      </c>
      <c r="W190" s="46">
        <f t="shared" si="75"/>
        <v>33.75</v>
      </c>
      <c r="X190" s="22">
        <f t="shared" si="76"/>
        <v>567.9</v>
      </c>
      <c r="Y190" s="10">
        <f t="shared" si="77"/>
        <v>4294.1899999999996</v>
      </c>
      <c r="Z190" s="72">
        <v>6592317602</v>
      </c>
      <c r="AA190" s="71">
        <v>29367</v>
      </c>
      <c r="AB190" s="22">
        <f t="shared" si="63"/>
        <v>224480.46</v>
      </c>
      <c r="AC190" s="9">
        <f t="shared" si="64"/>
        <v>0.81474899999999995</v>
      </c>
      <c r="AD190" s="71">
        <v>107548</v>
      </c>
      <c r="AE190" s="9">
        <f t="shared" si="65"/>
        <v>0.73992199999999997</v>
      </c>
      <c r="AF190" s="9">
        <f t="shared" si="84"/>
        <v>0.20769899999999999</v>
      </c>
      <c r="AG190" s="49">
        <f t="shared" si="66"/>
        <v>0.20769899999999999</v>
      </c>
      <c r="AH190" s="50">
        <f t="shared" si="67"/>
        <v>0</v>
      </c>
      <c r="AI190" s="51">
        <f t="shared" si="78"/>
        <v>0.20769899999999999</v>
      </c>
      <c r="AJ190">
        <v>0</v>
      </c>
      <c r="AK190">
        <v>0</v>
      </c>
      <c r="AL190" s="21">
        <f t="shared" si="79"/>
        <v>0</v>
      </c>
      <c r="AM190">
        <v>0</v>
      </c>
      <c r="AN190">
        <v>0</v>
      </c>
      <c r="AO190" s="21">
        <f t="shared" si="80"/>
        <v>0</v>
      </c>
      <c r="AP190" s="21">
        <f t="shared" si="68"/>
        <v>10279136</v>
      </c>
      <c r="AQ190" s="21">
        <f t="shared" si="81"/>
        <v>10279136</v>
      </c>
      <c r="AR190" s="48">
        <v>12130392</v>
      </c>
      <c r="AS190" s="48">
        <f t="shared" si="85"/>
        <v>12130392</v>
      </c>
      <c r="AT190" s="71">
        <v>12130392</v>
      </c>
      <c r="AU190" s="21">
        <f t="shared" si="86"/>
        <v>1851256</v>
      </c>
      <c r="AV190" s="52" t="str">
        <f t="shared" si="88"/>
        <v>No</v>
      </c>
      <c r="AW190" s="48">
        <f t="shared" si="82"/>
        <v>0</v>
      </c>
      <c r="AX190" s="53">
        <f t="shared" si="83"/>
        <v>12130392</v>
      </c>
      <c r="AY190" s="54">
        <f t="shared" si="87"/>
        <v>12130392</v>
      </c>
      <c r="AZ190" s="55"/>
      <c r="BA190" s="55"/>
      <c r="BB190" s="55"/>
      <c r="BC190" s="55"/>
      <c r="BD190" s="55"/>
    </row>
    <row r="191" spans="1:56" x14ac:dyDescent="0.5">
      <c r="A191" s="5" t="s">
        <v>99</v>
      </c>
      <c r="B191" s="5"/>
      <c r="C191" s="33">
        <v>1</v>
      </c>
      <c r="D191" s="33">
        <v>1</v>
      </c>
      <c r="E191" s="33"/>
      <c r="F191" s="2">
        <v>7</v>
      </c>
      <c r="G191">
        <v>0</v>
      </c>
      <c r="H191" s="5">
        <v>165</v>
      </c>
      <c r="I191" s="2" t="s">
        <v>244</v>
      </c>
      <c r="J191" s="45"/>
      <c r="K191">
        <v>1496.62</v>
      </c>
      <c r="L191"/>
      <c r="M191">
        <v>702</v>
      </c>
      <c r="N191" s="46">
        <f t="shared" si="69"/>
        <v>210.6</v>
      </c>
      <c r="O191" s="46">
        <f t="shared" si="70"/>
        <v>897.97</v>
      </c>
      <c r="P191" s="46">
        <f t="shared" si="71"/>
        <v>0</v>
      </c>
      <c r="Q191" s="46">
        <f t="shared" si="72"/>
        <v>0</v>
      </c>
      <c r="R191" s="47">
        <f t="shared" si="73"/>
        <v>0.47</v>
      </c>
      <c r="S191" s="47">
        <f t="shared" si="61"/>
        <v>0</v>
      </c>
      <c r="T191" s="46">
        <f t="shared" si="62"/>
        <v>0</v>
      </c>
      <c r="U191" s="46">
        <f t="shared" si="74"/>
        <v>0</v>
      </c>
      <c r="V191">
        <v>115</v>
      </c>
      <c r="W191" s="46">
        <f t="shared" si="75"/>
        <v>28.75</v>
      </c>
      <c r="X191" s="22">
        <f t="shared" si="76"/>
        <v>210.6</v>
      </c>
      <c r="Y191" s="10">
        <f t="shared" si="77"/>
        <v>1735.9699999999998</v>
      </c>
      <c r="Z191" s="72">
        <v>2836118865.6700001</v>
      </c>
      <c r="AA191" s="71">
        <v>12555</v>
      </c>
      <c r="AB191" s="22">
        <f t="shared" si="63"/>
        <v>225895.57</v>
      </c>
      <c r="AC191" s="9">
        <f t="shared" si="64"/>
        <v>0.819886</v>
      </c>
      <c r="AD191" s="71">
        <v>90417</v>
      </c>
      <c r="AE191" s="9">
        <f t="shared" si="65"/>
        <v>0.622062</v>
      </c>
      <c r="AF191" s="9">
        <f t="shared" si="84"/>
        <v>0.23946100000000001</v>
      </c>
      <c r="AG191" s="49">
        <f t="shared" si="66"/>
        <v>0.23946100000000001</v>
      </c>
      <c r="AH191" s="50">
        <f t="shared" si="67"/>
        <v>0</v>
      </c>
      <c r="AI191" s="51">
        <f t="shared" si="78"/>
        <v>0.23946100000000001</v>
      </c>
      <c r="AJ191">
        <v>0</v>
      </c>
      <c r="AK191">
        <v>0</v>
      </c>
      <c r="AL191" s="21">
        <f t="shared" si="79"/>
        <v>0</v>
      </c>
      <c r="AM191">
        <v>0</v>
      </c>
      <c r="AN191">
        <v>0</v>
      </c>
      <c r="AO191" s="21">
        <f t="shared" si="80"/>
        <v>0</v>
      </c>
      <c r="AP191" s="21">
        <f t="shared" si="68"/>
        <v>4790909</v>
      </c>
      <c r="AQ191" s="21">
        <f t="shared" si="81"/>
        <v>4790909</v>
      </c>
      <c r="AR191" s="48">
        <v>5167806</v>
      </c>
      <c r="AS191" s="48">
        <f t="shared" si="85"/>
        <v>5225299</v>
      </c>
      <c r="AT191" s="71">
        <v>5225299</v>
      </c>
      <c r="AU191" s="21">
        <f t="shared" si="86"/>
        <v>434390</v>
      </c>
      <c r="AV191" s="52" t="str">
        <f t="shared" si="88"/>
        <v>No</v>
      </c>
      <c r="AW191" s="48">
        <f t="shared" si="82"/>
        <v>0</v>
      </c>
      <c r="AX191" s="53">
        <f t="shared" si="83"/>
        <v>5225299</v>
      </c>
      <c r="AY191" s="54">
        <f t="shared" si="87"/>
        <v>5225299</v>
      </c>
      <c r="AZ191" s="55"/>
      <c r="BA191" s="55"/>
      <c r="BB191" s="55"/>
      <c r="BC191" s="55"/>
      <c r="BD191" s="55"/>
    </row>
    <row r="192" spans="1:56" ht="15.75" customHeight="1" x14ac:dyDescent="0.5">
      <c r="A192" s="5" t="s">
        <v>99</v>
      </c>
      <c r="B192" s="5"/>
      <c r="C192" s="33"/>
      <c r="D192" s="33"/>
      <c r="E192" s="33"/>
      <c r="F192" s="2">
        <v>7</v>
      </c>
      <c r="G192">
        <v>0</v>
      </c>
      <c r="H192" s="5">
        <v>166</v>
      </c>
      <c r="I192" s="2" t="s">
        <v>245</v>
      </c>
      <c r="J192" s="45"/>
      <c r="K192">
        <v>2169.98</v>
      </c>
      <c r="L192"/>
      <c r="M192">
        <v>706</v>
      </c>
      <c r="N192" s="46">
        <f t="shared" si="69"/>
        <v>211.8</v>
      </c>
      <c r="O192" s="46">
        <f t="shared" si="70"/>
        <v>1301.99</v>
      </c>
      <c r="P192" s="46">
        <f t="shared" si="71"/>
        <v>0</v>
      </c>
      <c r="Q192" s="46">
        <f t="shared" si="72"/>
        <v>0</v>
      </c>
      <c r="R192" s="47">
        <f t="shared" si="73"/>
        <v>0.33</v>
      </c>
      <c r="S192" s="47">
        <f t="shared" si="61"/>
        <v>0</v>
      </c>
      <c r="T192" s="46">
        <f t="shared" si="62"/>
        <v>0</v>
      </c>
      <c r="U192" s="46">
        <f t="shared" si="74"/>
        <v>0</v>
      </c>
      <c r="V192">
        <v>93</v>
      </c>
      <c r="W192" s="46">
        <f t="shared" si="75"/>
        <v>23.25</v>
      </c>
      <c r="X192" s="22">
        <f t="shared" si="76"/>
        <v>211.8</v>
      </c>
      <c r="Y192" s="10">
        <f t="shared" si="77"/>
        <v>2405.0300000000002</v>
      </c>
      <c r="Z192" s="72">
        <v>2500335242.6700001</v>
      </c>
      <c r="AA192" s="71">
        <v>16192</v>
      </c>
      <c r="AB192" s="22">
        <f t="shared" si="63"/>
        <v>154417.94</v>
      </c>
      <c r="AC192" s="9">
        <f t="shared" si="64"/>
        <v>0.56045800000000001</v>
      </c>
      <c r="AD192" s="71">
        <v>114406</v>
      </c>
      <c r="AE192" s="9">
        <f t="shared" si="65"/>
        <v>0.78710500000000005</v>
      </c>
      <c r="AF192" s="9">
        <f t="shared" si="84"/>
        <v>0.37154799999999999</v>
      </c>
      <c r="AG192" s="49">
        <f t="shared" si="66"/>
        <v>0.37154799999999999</v>
      </c>
      <c r="AH192" s="50">
        <f t="shared" si="67"/>
        <v>0</v>
      </c>
      <c r="AI192" s="51">
        <f t="shared" si="78"/>
        <v>0.37154799999999999</v>
      </c>
      <c r="AJ192">
        <v>0</v>
      </c>
      <c r="AK192">
        <v>0</v>
      </c>
      <c r="AL192" s="21">
        <f t="shared" si="79"/>
        <v>0</v>
      </c>
      <c r="AM192">
        <v>0</v>
      </c>
      <c r="AN192">
        <v>0</v>
      </c>
      <c r="AO192" s="21">
        <f t="shared" si="80"/>
        <v>0</v>
      </c>
      <c r="AP192" s="21">
        <f t="shared" si="68"/>
        <v>10298557</v>
      </c>
      <c r="AQ192" s="21">
        <f t="shared" si="81"/>
        <v>10298557</v>
      </c>
      <c r="AR192" s="48">
        <v>13423576</v>
      </c>
      <c r="AS192" s="48">
        <f t="shared" si="85"/>
        <v>10298557</v>
      </c>
      <c r="AT192" s="71">
        <v>12387171</v>
      </c>
      <c r="AU192" s="21">
        <f t="shared" si="86"/>
        <v>2088614</v>
      </c>
      <c r="AV192" s="52" t="str">
        <f t="shared" si="88"/>
        <v>No</v>
      </c>
      <c r="AW192" s="48">
        <f t="shared" si="82"/>
        <v>0</v>
      </c>
      <c r="AX192" s="53">
        <f t="shared" si="83"/>
        <v>12387171</v>
      </c>
      <c r="AY192" s="54">
        <f t="shared" si="87"/>
        <v>12387171</v>
      </c>
      <c r="AZ192" s="55"/>
      <c r="BA192" s="55"/>
      <c r="BB192" s="55"/>
      <c r="BC192" s="55"/>
      <c r="BD192" s="55"/>
    </row>
    <row r="193" spans="1:56" x14ac:dyDescent="0.5">
      <c r="A193" s="5" t="s">
        <v>77</v>
      </c>
      <c r="B193" s="5"/>
      <c r="C193" s="33"/>
      <c r="D193" s="33"/>
      <c r="E193" s="33"/>
      <c r="F193" s="2">
        <v>2</v>
      </c>
      <c r="G193">
        <v>0</v>
      </c>
      <c r="H193" s="5">
        <v>167</v>
      </c>
      <c r="I193" s="2" t="s">
        <v>246</v>
      </c>
      <c r="J193" s="45"/>
      <c r="K193">
        <v>1640.18</v>
      </c>
      <c r="L193"/>
      <c r="M193">
        <v>231</v>
      </c>
      <c r="N193" s="46">
        <f t="shared" si="69"/>
        <v>69.3</v>
      </c>
      <c r="O193" s="46">
        <f t="shared" si="70"/>
        <v>984.11</v>
      </c>
      <c r="P193" s="46">
        <f t="shared" si="71"/>
        <v>0</v>
      </c>
      <c r="Q193" s="46">
        <f t="shared" si="72"/>
        <v>0</v>
      </c>
      <c r="R193" s="47">
        <f t="shared" si="73"/>
        <v>0.14000000000000001</v>
      </c>
      <c r="S193" s="47">
        <f t="shared" si="61"/>
        <v>0</v>
      </c>
      <c r="T193" s="46">
        <f t="shared" si="62"/>
        <v>0</v>
      </c>
      <c r="U193" s="46">
        <f t="shared" si="74"/>
        <v>0</v>
      </c>
      <c r="V193">
        <v>63</v>
      </c>
      <c r="W193" s="46">
        <f t="shared" si="75"/>
        <v>15.75</v>
      </c>
      <c r="X193" s="22">
        <f t="shared" si="76"/>
        <v>69.3</v>
      </c>
      <c r="Y193" s="10">
        <f t="shared" si="77"/>
        <v>1725.23</v>
      </c>
      <c r="Z193" s="72">
        <v>2432260735</v>
      </c>
      <c r="AA193" s="71">
        <v>9041</v>
      </c>
      <c r="AB193" s="22">
        <f t="shared" si="63"/>
        <v>269025.63</v>
      </c>
      <c r="AC193" s="9">
        <f t="shared" si="64"/>
        <v>0.97642600000000002</v>
      </c>
      <c r="AD193" s="71">
        <v>201926</v>
      </c>
      <c r="AE193" s="9">
        <f t="shared" si="65"/>
        <v>1.389235</v>
      </c>
      <c r="AF193" s="9">
        <f t="shared" si="84"/>
        <v>-0.100269</v>
      </c>
      <c r="AG193" s="49">
        <f t="shared" si="66"/>
        <v>0.01</v>
      </c>
      <c r="AH193" s="50">
        <f t="shared" si="67"/>
        <v>0</v>
      </c>
      <c r="AI193" s="51">
        <f t="shared" si="78"/>
        <v>0.01</v>
      </c>
      <c r="AJ193">
        <v>763</v>
      </c>
      <c r="AK193">
        <v>6</v>
      </c>
      <c r="AL193" s="21">
        <f t="shared" si="79"/>
        <v>457800</v>
      </c>
      <c r="AM193">
        <v>0</v>
      </c>
      <c r="AN193">
        <v>0</v>
      </c>
      <c r="AO193" s="21">
        <f t="shared" si="80"/>
        <v>0</v>
      </c>
      <c r="AP193" s="21">
        <f t="shared" si="68"/>
        <v>198833</v>
      </c>
      <c r="AQ193" s="21">
        <f t="shared" si="81"/>
        <v>656633</v>
      </c>
      <c r="AR193" s="48">
        <v>656185</v>
      </c>
      <c r="AS193" s="48">
        <f t="shared" si="85"/>
        <v>656633</v>
      </c>
      <c r="AT193" s="71">
        <v>653255</v>
      </c>
      <c r="AU193" s="21">
        <f t="shared" si="86"/>
        <v>3378</v>
      </c>
      <c r="AV193" s="52" t="str">
        <f t="shared" si="88"/>
        <v>Yes</v>
      </c>
      <c r="AW193" s="48">
        <f t="shared" si="82"/>
        <v>3378</v>
      </c>
      <c r="AX193" s="53">
        <f t="shared" si="83"/>
        <v>656633</v>
      </c>
      <c r="AY193" s="54">
        <f t="shared" si="87"/>
        <v>656633</v>
      </c>
      <c r="AZ193" s="55"/>
      <c r="BA193" s="55"/>
      <c r="BB193" s="55"/>
      <c r="BC193" s="55"/>
      <c r="BD193" s="55"/>
    </row>
    <row r="194" spans="1:56" x14ac:dyDescent="0.5">
      <c r="A194" s="5" t="s">
        <v>71</v>
      </c>
      <c r="B194" s="5"/>
      <c r="C194" s="33"/>
      <c r="D194" s="33"/>
      <c r="E194" s="33"/>
      <c r="F194" s="2">
        <v>4</v>
      </c>
      <c r="G194">
        <v>0</v>
      </c>
      <c r="H194" s="5">
        <v>168</v>
      </c>
      <c r="I194" s="2" t="s">
        <v>247</v>
      </c>
      <c r="J194" s="45"/>
      <c r="K194">
        <v>914.34</v>
      </c>
      <c r="L194"/>
      <c r="M194">
        <v>178</v>
      </c>
      <c r="N194" s="46">
        <f t="shared" si="69"/>
        <v>53.4</v>
      </c>
      <c r="O194" s="46">
        <f t="shared" si="70"/>
        <v>548.6</v>
      </c>
      <c r="P194" s="46">
        <f t="shared" si="71"/>
        <v>0</v>
      </c>
      <c r="Q194" s="46">
        <f t="shared" si="72"/>
        <v>0</v>
      </c>
      <c r="R194" s="47">
        <f t="shared" si="73"/>
        <v>0.19</v>
      </c>
      <c r="S194" s="47">
        <f t="shared" si="61"/>
        <v>0</v>
      </c>
      <c r="T194" s="46">
        <f t="shared" si="62"/>
        <v>0</v>
      </c>
      <c r="U194" s="46">
        <f t="shared" si="74"/>
        <v>0</v>
      </c>
      <c r="V194">
        <v>6</v>
      </c>
      <c r="W194" s="46">
        <f t="shared" si="75"/>
        <v>1.5</v>
      </c>
      <c r="X194" s="22">
        <f t="shared" si="76"/>
        <v>53.4</v>
      </c>
      <c r="Y194" s="10">
        <f t="shared" si="77"/>
        <v>969.24</v>
      </c>
      <c r="Z194" s="72">
        <v>2185483669</v>
      </c>
      <c r="AA194" s="71">
        <v>9787</v>
      </c>
      <c r="AB194" s="22">
        <f t="shared" si="63"/>
        <v>223304.76</v>
      </c>
      <c r="AC194" s="9">
        <f t="shared" si="64"/>
        <v>0.81048200000000004</v>
      </c>
      <c r="AD194" s="71">
        <v>129427</v>
      </c>
      <c r="AE194" s="9">
        <f t="shared" si="65"/>
        <v>0.89044800000000002</v>
      </c>
      <c r="AF194" s="9">
        <f t="shared" si="84"/>
        <v>0.16552800000000001</v>
      </c>
      <c r="AG194" s="49">
        <f t="shared" si="66"/>
        <v>0.16552800000000001</v>
      </c>
      <c r="AH194" s="50">
        <f t="shared" si="67"/>
        <v>0</v>
      </c>
      <c r="AI194" s="51">
        <f t="shared" si="78"/>
        <v>0.16552800000000001</v>
      </c>
      <c r="AJ194">
        <v>917</v>
      </c>
      <c r="AK194">
        <v>13</v>
      </c>
      <c r="AL194" s="21">
        <f t="shared" si="79"/>
        <v>1192100</v>
      </c>
      <c r="AM194">
        <v>0</v>
      </c>
      <c r="AN194">
        <v>0</v>
      </c>
      <c r="AO194" s="21">
        <f t="shared" si="80"/>
        <v>0</v>
      </c>
      <c r="AP194" s="21">
        <f t="shared" si="68"/>
        <v>1849029</v>
      </c>
      <c r="AQ194" s="21">
        <f t="shared" si="81"/>
        <v>3041129</v>
      </c>
      <c r="AR194" s="48">
        <v>1276811</v>
      </c>
      <c r="AS194" s="48">
        <f t="shared" si="85"/>
        <v>3041129</v>
      </c>
      <c r="AT194" s="71">
        <v>2936816</v>
      </c>
      <c r="AU194" s="21">
        <f t="shared" si="86"/>
        <v>104313</v>
      </c>
      <c r="AV194" s="52" t="str">
        <f t="shared" si="88"/>
        <v>Yes</v>
      </c>
      <c r="AW194" s="48">
        <f t="shared" si="82"/>
        <v>104313</v>
      </c>
      <c r="AX194" s="53">
        <f t="shared" si="83"/>
        <v>3041129</v>
      </c>
      <c r="AY194" s="54">
        <f t="shared" si="87"/>
        <v>3041129</v>
      </c>
      <c r="AZ194" s="55"/>
      <c r="BA194" s="55"/>
      <c r="BB194" s="55"/>
      <c r="BC194" s="55"/>
      <c r="BD194" s="55"/>
    </row>
    <row r="195" spans="1:56" x14ac:dyDescent="0.5">
      <c r="A195" s="5" t="s">
        <v>75</v>
      </c>
      <c r="B195" s="5"/>
      <c r="C195" s="33"/>
      <c r="D195" s="33"/>
      <c r="E195" s="33"/>
      <c r="F195" s="2">
        <v>7</v>
      </c>
      <c r="G195">
        <v>0</v>
      </c>
      <c r="H195" s="5">
        <v>169</v>
      </c>
      <c r="I195" s="2" t="s">
        <v>248</v>
      </c>
      <c r="J195" s="45"/>
      <c r="K195">
        <v>1097.06</v>
      </c>
      <c r="L195"/>
      <c r="M195">
        <v>218</v>
      </c>
      <c r="N195" s="46">
        <f t="shared" si="69"/>
        <v>65.400000000000006</v>
      </c>
      <c r="O195" s="46">
        <f t="shared" si="70"/>
        <v>658.24</v>
      </c>
      <c r="P195" s="46">
        <f t="shared" si="71"/>
        <v>0</v>
      </c>
      <c r="Q195" s="46">
        <f t="shared" si="72"/>
        <v>0</v>
      </c>
      <c r="R195" s="47">
        <f t="shared" si="73"/>
        <v>0.2</v>
      </c>
      <c r="S195" s="47">
        <f t="shared" si="61"/>
        <v>0</v>
      </c>
      <c r="T195" s="46">
        <f t="shared" si="62"/>
        <v>0</v>
      </c>
      <c r="U195" s="46">
        <f t="shared" si="74"/>
        <v>0</v>
      </c>
      <c r="V195">
        <v>8</v>
      </c>
      <c r="W195" s="46">
        <f t="shared" si="75"/>
        <v>2</v>
      </c>
      <c r="X195" s="22">
        <f t="shared" si="76"/>
        <v>65.400000000000006</v>
      </c>
      <c r="Y195" s="10">
        <f t="shared" si="77"/>
        <v>1164.46</v>
      </c>
      <c r="Z195" s="72">
        <v>1624168325.6700001</v>
      </c>
      <c r="AA195" s="71">
        <v>8267</v>
      </c>
      <c r="AB195" s="22">
        <f t="shared" si="63"/>
        <v>196464.05</v>
      </c>
      <c r="AC195" s="9">
        <f t="shared" si="64"/>
        <v>0.71306400000000003</v>
      </c>
      <c r="AD195" s="71">
        <v>104487</v>
      </c>
      <c r="AE195" s="9">
        <f t="shared" si="65"/>
        <v>0.71886300000000003</v>
      </c>
      <c r="AF195" s="9">
        <f t="shared" si="84"/>
        <v>0.28519600000000001</v>
      </c>
      <c r="AG195" s="49">
        <f t="shared" si="66"/>
        <v>0.28519600000000001</v>
      </c>
      <c r="AH195" s="50">
        <f t="shared" si="67"/>
        <v>0</v>
      </c>
      <c r="AI195" s="51">
        <f t="shared" si="78"/>
        <v>0.28519600000000001</v>
      </c>
      <c r="AJ195">
        <v>0</v>
      </c>
      <c r="AK195">
        <v>0</v>
      </c>
      <c r="AL195" s="21">
        <f t="shared" si="79"/>
        <v>0</v>
      </c>
      <c r="AM195">
        <v>325</v>
      </c>
      <c r="AN195">
        <v>4</v>
      </c>
      <c r="AO195" s="21">
        <f t="shared" si="80"/>
        <v>130000</v>
      </c>
      <c r="AP195" s="21">
        <f t="shared" si="68"/>
        <v>3827445</v>
      </c>
      <c r="AQ195" s="21">
        <f t="shared" si="81"/>
        <v>3957445</v>
      </c>
      <c r="AR195" s="48">
        <v>5356542</v>
      </c>
      <c r="AS195" s="48">
        <f t="shared" si="85"/>
        <v>3957445</v>
      </c>
      <c r="AT195" s="71">
        <v>4990532</v>
      </c>
      <c r="AU195" s="21">
        <f t="shared" si="86"/>
        <v>1033087</v>
      </c>
      <c r="AV195" s="52" t="str">
        <f t="shared" si="88"/>
        <v>No</v>
      </c>
      <c r="AW195" s="48">
        <f t="shared" si="82"/>
        <v>0</v>
      </c>
      <c r="AX195" s="53">
        <f t="shared" si="83"/>
        <v>4990532</v>
      </c>
      <c r="AY195" s="54">
        <f t="shared" si="87"/>
        <v>4990532</v>
      </c>
      <c r="AZ195" s="55"/>
      <c r="BA195" s="55"/>
      <c r="BB195" s="55"/>
      <c r="BC195" s="55"/>
      <c r="BD195" s="55"/>
    </row>
    <row r="196" spans="1:56" x14ac:dyDescent="0.5">
      <c r="AJ196" s="21"/>
      <c r="AN196" s="44"/>
    </row>
    <row r="197" spans="1:56" ht="15.75" customHeight="1" x14ac:dyDescent="0.5">
      <c r="A197" s="5"/>
      <c r="B197" s="5"/>
      <c r="C197" s="33"/>
      <c r="D197" s="33"/>
      <c r="E197" s="33"/>
      <c r="G197" s="44"/>
      <c r="H197" s="5"/>
      <c r="J197" s="45"/>
      <c r="K197" s="44"/>
      <c r="L197" s="59"/>
      <c r="M197" s="44"/>
      <c r="N197" s="44"/>
      <c r="O197" s="44"/>
      <c r="P197" s="44"/>
      <c r="Q197" s="44"/>
      <c r="R197" s="47"/>
      <c r="S197" s="47"/>
      <c r="T197" s="48"/>
      <c r="U197" s="48"/>
      <c r="V197" s="44"/>
      <c r="W197" s="44"/>
      <c r="X197" s="22"/>
      <c r="Y197" s="10"/>
      <c r="Z197" s="44"/>
      <c r="AA197" s="44"/>
      <c r="AB197" s="22"/>
      <c r="AC197" s="9"/>
      <c r="AD197" s="44"/>
      <c r="AE197" s="9"/>
      <c r="AF197" s="9"/>
      <c r="AG197" s="49"/>
      <c r="AH197" s="50"/>
      <c r="AI197" s="51"/>
      <c r="AJ197" s="44"/>
      <c r="AK197" s="44"/>
      <c r="AL197" s="44"/>
      <c r="AO197" s="21"/>
      <c r="AP197" s="21"/>
      <c r="AQ197" s="21"/>
      <c r="AR197" s="21"/>
      <c r="AS197" s="21"/>
      <c r="AT197" s="48"/>
      <c r="AU197" s="21"/>
      <c r="AV197" s="21"/>
      <c r="AW197" s="48"/>
      <c r="AX197" s="53"/>
      <c r="AY197" s="54"/>
      <c r="AZ197" s="55"/>
      <c r="BA197" s="55"/>
      <c r="BB197" s="55"/>
      <c r="BC197" s="55"/>
      <c r="BD197" s="55"/>
    </row>
    <row r="198" spans="1:56" x14ac:dyDescent="0.5">
      <c r="K198" s="10"/>
      <c r="L198" s="10"/>
      <c r="Y198" s="10"/>
      <c r="AJ198" s="21"/>
    </row>
    <row r="199" spans="1:56" x14ac:dyDescent="0.5">
      <c r="K199" s="10"/>
      <c r="L199" s="10"/>
      <c r="Y199" s="10"/>
      <c r="AJ199" s="21"/>
    </row>
    <row r="200" spans="1:56" x14ac:dyDescent="0.5">
      <c r="K200" s="10"/>
      <c r="L200" s="10"/>
      <c r="Y200" s="10"/>
      <c r="AJ200" s="21"/>
    </row>
    <row r="201" spans="1:56" x14ac:dyDescent="0.5">
      <c r="K201" s="10"/>
      <c r="L201" s="10"/>
      <c r="Y201" s="10"/>
    </row>
    <row r="202" spans="1:56" x14ac:dyDescent="0.5">
      <c r="K202" s="10"/>
      <c r="L202" s="10"/>
      <c r="Y202" s="10"/>
    </row>
    <row r="203" spans="1:56" x14ac:dyDescent="0.5">
      <c r="K203" s="10"/>
      <c r="L203" s="10"/>
      <c r="Y203" s="10"/>
    </row>
    <row r="204" spans="1:56" x14ac:dyDescent="0.5">
      <c r="K204" s="10"/>
      <c r="L204" s="10"/>
      <c r="Y204" s="10"/>
    </row>
    <row r="205" spans="1:56" x14ac:dyDescent="0.5">
      <c r="K205" s="10"/>
      <c r="L205" s="10"/>
      <c r="Y205" s="10"/>
    </row>
    <row r="206" spans="1:56" x14ac:dyDescent="0.5">
      <c r="K206" s="10"/>
      <c r="L206" s="10"/>
      <c r="Y206" s="10"/>
    </row>
    <row r="207" spans="1:56" x14ac:dyDescent="0.5">
      <c r="K207" s="10"/>
      <c r="L207" s="10"/>
      <c r="Y207" s="10"/>
    </row>
    <row r="208" spans="1:56" x14ac:dyDescent="0.5">
      <c r="K208" s="10"/>
      <c r="L208" s="10"/>
      <c r="Y208" s="10"/>
    </row>
    <row r="209" spans="11:25" x14ac:dyDescent="0.5">
      <c r="K209" s="10"/>
      <c r="L209" s="10"/>
      <c r="Y209" s="10"/>
    </row>
    <row r="210" spans="11:25" x14ac:dyDescent="0.5">
      <c r="K210" s="10"/>
      <c r="L210" s="10"/>
    </row>
    <row r="211" spans="11:25" x14ac:dyDescent="0.5">
      <c r="K211" s="10"/>
      <c r="L211" s="10"/>
    </row>
    <row r="212" spans="11:25" x14ac:dyDescent="0.5">
      <c r="K212" s="10"/>
      <c r="L212" s="10"/>
    </row>
    <row r="213" spans="11:25" x14ac:dyDescent="0.5">
      <c r="K213" s="10"/>
      <c r="L213" s="10"/>
    </row>
    <row r="214" spans="11:25" x14ac:dyDescent="0.5">
      <c r="K214" s="10"/>
      <c r="L214" s="10"/>
    </row>
    <row r="215" spans="11:25" x14ac:dyDescent="0.5">
      <c r="K215" s="10"/>
      <c r="L215" s="10"/>
    </row>
    <row r="216" spans="11:25" x14ac:dyDescent="0.5">
      <c r="K216" s="10"/>
      <c r="L216" s="10"/>
    </row>
    <row r="217" spans="11:25" x14ac:dyDescent="0.5">
      <c r="K217" s="10"/>
      <c r="L217" s="10"/>
    </row>
    <row r="218" spans="11:25" x14ac:dyDescent="0.5">
      <c r="K218" s="10"/>
      <c r="L218" s="10"/>
    </row>
    <row r="219" spans="11:25" x14ac:dyDescent="0.5">
      <c r="K219" s="10"/>
      <c r="L219" s="10"/>
    </row>
    <row r="220" spans="11:25" x14ac:dyDescent="0.5">
      <c r="K220" s="10"/>
      <c r="L220" s="10"/>
    </row>
    <row r="221" spans="11:25" x14ac:dyDescent="0.5">
      <c r="K221" s="10"/>
      <c r="L221" s="10"/>
    </row>
    <row r="222" spans="11:25" x14ac:dyDescent="0.5">
      <c r="K222" s="10"/>
      <c r="L222" s="10"/>
    </row>
    <row r="223" spans="11:25" x14ac:dyDescent="0.5">
      <c r="K223" s="10"/>
      <c r="L223" s="10"/>
    </row>
    <row r="224" spans="11:25" x14ac:dyDescent="0.5">
      <c r="K224" s="10"/>
      <c r="L224" s="10"/>
    </row>
    <row r="225" spans="11:12" x14ac:dyDescent="0.5">
      <c r="K225" s="10"/>
      <c r="L225" s="10"/>
    </row>
    <row r="226" spans="11:12" x14ac:dyDescent="0.5">
      <c r="K226" s="10"/>
      <c r="L226" s="10"/>
    </row>
    <row r="227" spans="11:12" x14ac:dyDescent="0.5">
      <c r="K227" s="10"/>
      <c r="L227" s="10"/>
    </row>
    <row r="228" spans="11:12" x14ac:dyDescent="0.5">
      <c r="K228" s="10"/>
      <c r="L228" s="10"/>
    </row>
    <row r="229" spans="11:12" x14ac:dyDescent="0.5">
      <c r="K229" s="10"/>
      <c r="L229" s="10"/>
    </row>
    <row r="230" spans="11:12" x14ac:dyDescent="0.5">
      <c r="K230" s="10"/>
      <c r="L230" s="10"/>
    </row>
    <row r="231" spans="11:12" x14ac:dyDescent="0.5">
      <c r="K231" s="10"/>
      <c r="L231" s="10"/>
    </row>
    <row r="232" spans="11:12" x14ac:dyDescent="0.5">
      <c r="K232" s="10"/>
      <c r="L232" s="10"/>
    </row>
    <row r="233" spans="11:12" x14ac:dyDescent="0.5">
      <c r="K233" s="10"/>
      <c r="L233" s="10"/>
    </row>
    <row r="234" spans="11:12" x14ac:dyDescent="0.5">
      <c r="K234" s="10"/>
      <c r="L234" s="10"/>
    </row>
    <row r="235" spans="11:12" x14ac:dyDescent="0.5">
      <c r="K235" s="10"/>
      <c r="L235" s="10"/>
    </row>
    <row r="236" spans="11:12" x14ac:dyDescent="0.5">
      <c r="K236" s="10"/>
      <c r="L236" s="10"/>
    </row>
    <row r="237" spans="11:12" x14ac:dyDescent="0.5">
      <c r="K237" s="10"/>
      <c r="L237" s="10"/>
    </row>
    <row r="238" spans="11:12" x14ac:dyDescent="0.5">
      <c r="K238" s="10"/>
      <c r="L238" s="10"/>
    </row>
    <row r="239" spans="11:12" x14ac:dyDescent="0.5">
      <c r="K239" s="10"/>
      <c r="L239" s="10"/>
    </row>
    <row r="240" spans="11:12" x14ac:dyDescent="0.5">
      <c r="K240" s="10"/>
      <c r="L240" s="10"/>
    </row>
    <row r="241" spans="11:12" x14ac:dyDescent="0.5">
      <c r="K241" s="10"/>
      <c r="L241" s="10"/>
    </row>
    <row r="242" spans="11:12" x14ac:dyDescent="0.5">
      <c r="K242" s="10"/>
      <c r="L242" s="10"/>
    </row>
    <row r="243" spans="11:12" x14ac:dyDescent="0.5">
      <c r="K243" s="10"/>
      <c r="L243" s="10"/>
    </row>
    <row r="244" spans="11:12" x14ac:dyDescent="0.5">
      <c r="K244" s="10"/>
      <c r="L244" s="10"/>
    </row>
    <row r="245" spans="11:12" x14ac:dyDescent="0.5">
      <c r="K245" s="10"/>
      <c r="L245" s="10"/>
    </row>
    <row r="246" spans="11:12" x14ac:dyDescent="0.5">
      <c r="K246" s="10"/>
      <c r="L246" s="10"/>
    </row>
    <row r="247" spans="11:12" x14ac:dyDescent="0.5">
      <c r="K247" s="10"/>
      <c r="L247" s="10"/>
    </row>
    <row r="248" spans="11:12" x14ac:dyDescent="0.5">
      <c r="K248" s="10"/>
      <c r="L248" s="10"/>
    </row>
    <row r="249" spans="11:12" x14ac:dyDescent="0.5">
      <c r="K249" s="10"/>
      <c r="L249" s="10"/>
    </row>
    <row r="250" spans="11:12" x14ac:dyDescent="0.5">
      <c r="K250" s="10"/>
      <c r="L250" s="10"/>
    </row>
    <row r="251" spans="11:12" x14ac:dyDescent="0.5">
      <c r="K251" s="10"/>
      <c r="L251" s="10"/>
    </row>
    <row r="252" spans="11:12" x14ac:dyDescent="0.5">
      <c r="K252" s="10"/>
      <c r="L252" s="10"/>
    </row>
    <row r="253" spans="11:12" x14ac:dyDescent="0.5">
      <c r="K253" s="10"/>
      <c r="L253" s="10"/>
    </row>
    <row r="254" spans="11:12" x14ac:dyDescent="0.5">
      <c r="K254" s="10"/>
      <c r="L254" s="10"/>
    </row>
    <row r="255" spans="11:12" x14ac:dyDescent="0.5">
      <c r="K255" s="10"/>
      <c r="L255" s="10"/>
    </row>
    <row r="256" spans="11:12" x14ac:dyDescent="0.5">
      <c r="K256" s="10"/>
      <c r="L256" s="10"/>
    </row>
    <row r="257" spans="11:12" x14ac:dyDescent="0.5">
      <c r="K257" s="10"/>
      <c r="L257" s="10"/>
    </row>
    <row r="258" spans="11:12" x14ac:dyDescent="0.5">
      <c r="K258" s="10"/>
      <c r="L258" s="10"/>
    </row>
    <row r="259" spans="11:12" x14ac:dyDescent="0.5">
      <c r="K259" s="10"/>
      <c r="L259" s="10"/>
    </row>
    <row r="260" spans="11:12" x14ac:dyDescent="0.5">
      <c r="K260" s="10"/>
      <c r="L260" s="10"/>
    </row>
    <row r="261" spans="11:12" x14ac:dyDescent="0.5">
      <c r="K261" s="10"/>
      <c r="L261" s="10"/>
    </row>
    <row r="262" spans="11:12" x14ac:dyDescent="0.5">
      <c r="K262" s="10"/>
      <c r="L262" s="10"/>
    </row>
    <row r="263" spans="11:12" x14ac:dyDescent="0.5">
      <c r="K263" s="10"/>
      <c r="L263" s="10"/>
    </row>
    <row r="264" spans="11:12" x14ac:dyDescent="0.5">
      <c r="K264" s="10"/>
      <c r="L264" s="10"/>
    </row>
    <row r="265" spans="11:12" x14ac:dyDescent="0.5">
      <c r="K265" s="10"/>
      <c r="L265" s="10"/>
    </row>
    <row r="266" spans="11:12" x14ac:dyDescent="0.5">
      <c r="K266" s="10"/>
      <c r="L266" s="10"/>
    </row>
    <row r="267" spans="11:12" x14ac:dyDescent="0.5">
      <c r="K267" s="10"/>
      <c r="L267" s="10"/>
    </row>
    <row r="268" spans="11:12" x14ac:dyDescent="0.5">
      <c r="K268" s="10"/>
      <c r="L268" s="10"/>
    </row>
    <row r="269" spans="11:12" x14ac:dyDescent="0.5">
      <c r="K269" s="10"/>
      <c r="L269" s="10"/>
    </row>
    <row r="270" spans="11:12" x14ac:dyDescent="0.5">
      <c r="K270" s="10"/>
      <c r="L270" s="10"/>
    </row>
    <row r="271" spans="11:12" x14ac:dyDescent="0.5">
      <c r="K271" s="10"/>
      <c r="L271" s="10"/>
    </row>
    <row r="272" spans="11:12" x14ac:dyDescent="0.5">
      <c r="K272" s="10"/>
      <c r="L272" s="10"/>
    </row>
    <row r="273" spans="11:12" x14ac:dyDescent="0.5">
      <c r="K273" s="10"/>
      <c r="L273" s="10"/>
    </row>
    <row r="274" spans="11:12" x14ac:dyDescent="0.5">
      <c r="K274" s="10"/>
      <c r="L274" s="10"/>
    </row>
    <row r="275" spans="11:12" x14ac:dyDescent="0.5">
      <c r="K275" s="10"/>
      <c r="L275" s="10"/>
    </row>
    <row r="276" spans="11:12" x14ac:dyDescent="0.5">
      <c r="K276" s="10"/>
      <c r="L276" s="10"/>
    </row>
    <row r="277" spans="11:12" x14ac:dyDescent="0.5">
      <c r="K277" s="10"/>
      <c r="L277" s="10"/>
    </row>
    <row r="278" spans="11:12" x14ac:dyDescent="0.5">
      <c r="K278" s="10"/>
      <c r="L278" s="10"/>
    </row>
    <row r="279" spans="11:12" x14ac:dyDescent="0.5">
      <c r="K279" s="10"/>
      <c r="L279" s="10"/>
    </row>
    <row r="280" spans="11:12" x14ac:dyDescent="0.5">
      <c r="K280" s="10"/>
      <c r="L280" s="10"/>
    </row>
    <row r="281" spans="11:12" x14ac:dyDescent="0.5">
      <c r="K281" s="10"/>
      <c r="L281" s="10"/>
    </row>
    <row r="282" spans="11:12" x14ac:dyDescent="0.5">
      <c r="K282" s="10"/>
      <c r="L282" s="10"/>
    </row>
    <row r="283" spans="11:12" x14ac:dyDescent="0.5">
      <c r="K283" s="10"/>
      <c r="L283" s="10"/>
    </row>
    <row r="284" spans="11:12" x14ac:dyDescent="0.5">
      <c r="K284" s="10"/>
      <c r="L284" s="10"/>
    </row>
    <row r="285" spans="11:12" x14ac:dyDescent="0.5">
      <c r="K285" s="10"/>
      <c r="L285" s="10"/>
    </row>
    <row r="286" spans="11:12" x14ac:dyDescent="0.5">
      <c r="K286" s="10"/>
      <c r="L286" s="10"/>
    </row>
    <row r="287" spans="11:12" x14ac:dyDescent="0.5">
      <c r="K287" s="10"/>
      <c r="L287" s="10"/>
    </row>
    <row r="288" spans="11:12" x14ac:dyDescent="0.5">
      <c r="K288" s="10"/>
      <c r="L288" s="10"/>
    </row>
    <row r="289" spans="11:12" x14ac:dyDescent="0.5">
      <c r="K289" s="10"/>
      <c r="L289" s="10"/>
    </row>
    <row r="290" spans="11:12" x14ac:dyDescent="0.5">
      <c r="K290" s="10"/>
      <c r="L290" s="10"/>
    </row>
    <row r="291" spans="11:12" x14ac:dyDescent="0.5">
      <c r="K291" s="10"/>
      <c r="L291" s="10"/>
    </row>
    <row r="292" spans="11:12" x14ac:dyDescent="0.5">
      <c r="K292" s="10"/>
      <c r="L292" s="10"/>
    </row>
    <row r="293" spans="11:12" x14ac:dyDescent="0.5">
      <c r="K293" s="10"/>
      <c r="L293" s="10"/>
    </row>
    <row r="294" spans="11:12" x14ac:dyDescent="0.5">
      <c r="K294" s="10"/>
      <c r="L294" s="10"/>
    </row>
    <row r="295" spans="11:12" x14ac:dyDescent="0.5">
      <c r="K295" s="10"/>
      <c r="L295" s="10"/>
    </row>
    <row r="296" spans="11:12" x14ac:dyDescent="0.5">
      <c r="K296" s="10"/>
      <c r="L296" s="10"/>
    </row>
    <row r="297" spans="11:12" x14ac:dyDescent="0.5">
      <c r="K297" s="10"/>
      <c r="L297" s="10"/>
    </row>
    <row r="298" spans="11:12" x14ac:dyDescent="0.5">
      <c r="K298" s="10"/>
      <c r="L298" s="10"/>
    </row>
    <row r="299" spans="11:12" x14ac:dyDescent="0.5">
      <c r="K299" s="10"/>
      <c r="L299" s="10"/>
    </row>
    <row r="300" spans="11:12" x14ac:dyDescent="0.5">
      <c r="K300" s="10"/>
      <c r="L300" s="10"/>
    </row>
    <row r="301" spans="11:12" x14ac:dyDescent="0.5">
      <c r="K301" s="10"/>
      <c r="L301" s="10"/>
    </row>
    <row r="302" spans="11:12" x14ac:dyDescent="0.5">
      <c r="K302" s="10"/>
      <c r="L302" s="10"/>
    </row>
    <row r="303" spans="11:12" x14ac:dyDescent="0.5">
      <c r="K303" s="10"/>
      <c r="L303" s="10"/>
    </row>
    <row r="304" spans="11:12" x14ac:dyDescent="0.5">
      <c r="K304" s="10"/>
      <c r="L304" s="10"/>
    </row>
    <row r="305" spans="11:12" x14ac:dyDescent="0.5">
      <c r="K305" s="10"/>
      <c r="L305" s="10"/>
    </row>
    <row r="306" spans="11:12" x14ac:dyDescent="0.5">
      <c r="K306" s="10"/>
      <c r="L306" s="10"/>
    </row>
    <row r="307" spans="11:12" x14ac:dyDescent="0.5">
      <c r="K307" s="10"/>
      <c r="L307" s="10"/>
    </row>
    <row r="308" spans="11:12" x14ac:dyDescent="0.5">
      <c r="K308" s="10"/>
      <c r="L308" s="10"/>
    </row>
    <row r="309" spans="11:12" x14ac:dyDescent="0.5">
      <c r="K309" s="10"/>
      <c r="L309" s="10"/>
    </row>
    <row r="310" spans="11:12" x14ac:dyDescent="0.5">
      <c r="K310" s="10"/>
      <c r="L310" s="10"/>
    </row>
    <row r="311" spans="11:12" x14ac:dyDescent="0.5">
      <c r="K311" s="10"/>
      <c r="L311" s="10"/>
    </row>
    <row r="312" spans="11:12" x14ac:dyDescent="0.5">
      <c r="K312" s="10"/>
      <c r="L312" s="10"/>
    </row>
    <row r="313" spans="11:12" x14ac:dyDescent="0.5">
      <c r="K313" s="10"/>
      <c r="L313" s="10"/>
    </row>
    <row r="314" spans="11:12" x14ac:dyDescent="0.5">
      <c r="K314" s="10"/>
      <c r="L314" s="10"/>
    </row>
    <row r="315" spans="11:12" x14ac:dyDescent="0.5">
      <c r="K315" s="10"/>
      <c r="L315" s="10"/>
    </row>
    <row r="316" spans="11:12" x14ac:dyDescent="0.5">
      <c r="K316" s="10"/>
      <c r="L316" s="10"/>
    </row>
    <row r="317" spans="11:12" x14ac:dyDescent="0.5">
      <c r="K317" s="10"/>
      <c r="L317" s="10"/>
    </row>
    <row r="318" spans="11:12" x14ac:dyDescent="0.5">
      <c r="K318" s="10"/>
      <c r="L318" s="10"/>
    </row>
    <row r="319" spans="11:12" x14ac:dyDescent="0.5">
      <c r="K319" s="10"/>
      <c r="L319" s="10"/>
    </row>
    <row r="320" spans="11:12" x14ac:dyDescent="0.5">
      <c r="K320" s="10"/>
      <c r="L320" s="10"/>
    </row>
    <row r="321" spans="11:12" x14ac:dyDescent="0.5">
      <c r="K321" s="10"/>
      <c r="L321" s="10"/>
    </row>
    <row r="322" spans="11:12" x14ac:dyDescent="0.5">
      <c r="K322" s="10"/>
      <c r="L322" s="10"/>
    </row>
    <row r="323" spans="11:12" x14ac:dyDescent="0.5">
      <c r="K323" s="10"/>
      <c r="L323" s="10"/>
    </row>
    <row r="324" spans="11:12" x14ac:dyDescent="0.5">
      <c r="K324" s="10"/>
      <c r="L324" s="10"/>
    </row>
    <row r="325" spans="11:12" x14ac:dyDescent="0.5">
      <c r="K325" s="10"/>
      <c r="L325" s="10"/>
    </row>
    <row r="326" spans="11:12" x14ac:dyDescent="0.5">
      <c r="K326" s="10"/>
      <c r="L326" s="10"/>
    </row>
    <row r="327" spans="11:12" x14ac:dyDescent="0.5">
      <c r="K327" s="10"/>
      <c r="L327" s="10"/>
    </row>
    <row r="328" spans="11:12" x14ac:dyDescent="0.5">
      <c r="K328" s="10"/>
      <c r="L328" s="10"/>
    </row>
    <row r="329" spans="11:12" x14ac:dyDescent="0.5">
      <c r="K329" s="10"/>
      <c r="L329" s="10"/>
    </row>
    <row r="330" spans="11:12" x14ac:dyDescent="0.5">
      <c r="K330" s="10"/>
      <c r="L330" s="10"/>
    </row>
    <row r="331" spans="11:12" x14ac:dyDescent="0.5">
      <c r="K331" s="10"/>
      <c r="L331" s="10"/>
    </row>
    <row r="332" spans="11:12" x14ac:dyDescent="0.5">
      <c r="K332" s="10"/>
      <c r="L332" s="10"/>
    </row>
    <row r="333" spans="11:12" x14ac:dyDescent="0.5">
      <c r="K333" s="10"/>
      <c r="L333" s="10"/>
    </row>
    <row r="334" spans="11:12" x14ac:dyDescent="0.5">
      <c r="K334" s="10"/>
      <c r="L334" s="10"/>
    </row>
    <row r="335" spans="11:12" x14ac:dyDescent="0.5">
      <c r="K335" s="10"/>
      <c r="L335" s="10"/>
    </row>
    <row r="336" spans="11:12" x14ac:dyDescent="0.5">
      <c r="K336" s="10"/>
      <c r="L336" s="10"/>
    </row>
    <row r="337" spans="11:12" x14ac:dyDescent="0.5">
      <c r="K337" s="10"/>
      <c r="L337" s="10"/>
    </row>
    <row r="338" spans="11:12" x14ac:dyDescent="0.5">
      <c r="K338" s="10"/>
      <c r="L338" s="10"/>
    </row>
    <row r="339" spans="11:12" x14ac:dyDescent="0.5">
      <c r="K339" s="10"/>
      <c r="L339" s="10"/>
    </row>
    <row r="340" spans="11:12" x14ac:dyDescent="0.5">
      <c r="K340" s="10"/>
      <c r="L340" s="10"/>
    </row>
    <row r="341" spans="11:12" x14ac:dyDescent="0.5">
      <c r="K341" s="10"/>
      <c r="L341" s="10"/>
    </row>
    <row r="342" spans="11:12" x14ac:dyDescent="0.5">
      <c r="K342" s="10"/>
      <c r="L342" s="10"/>
    </row>
    <row r="343" spans="11:12" x14ac:dyDescent="0.5">
      <c r="K343" s="10"/>
      <c r="L343" s="10"/>
    </row>
    <row r="344" spans="11:12" x14ac:dyDescent="0.5">
      <c r="K344" s="10"/>
      <c r="L344" s="10"/>
    </row>
    <row r="345" spans="11:12" x14ac:dyDescent="0.5">
      <c r="K345" s="10"/>
      <c r="L345" s="10"/>
    </row>
    <row r="346" spans="11:12" x14ac:dyDescent="0.5">
      <c r="K346" s="10"/>
      <c r="L346" s="10"/>
    </row>
    <row r="347" spans="11:12" x14ac:dyDescent="0.5">
      <c r="K347" s="10"/>
      <c r="L347" s="10"/>
    </row>
    <row r="348" spans="11:12" x14ac:dyDescent="0.5">
      <c r="K348" s="10"/>
      <c r="L348" s="10"/>
    </row>
    <row r="349" spans="11:12" x14ac:dyDescent="0.5">
      <c r="K349" s="10"/>
      <c r="L349" s="10"/>
    </row>
    <row r="350" spans="11:12" x14ac:dyDescent="0.5">
      <c r="K350" s="10"/>
      <c r="L350" s="10"/>
    </row>
    <row r="351" spans="11:12" x14ac:dyDescent="0.5">
      <c r="K351" s="10"/>
      <c r="L351" s="10"/>
    </row>
    <row r="352" spans="11:12" x14ac:dyDescent="0.5">
      <c r="K352" s="10"/>
      <c r="L352" s="10"/>
    </row>
    <row r="353" spans="11:12" x14ac:dyDescent="0.5">
      <c r="K353" s="10"/>
      <c r="L353" s="10"/>
    </row>
    <row r="354" spans="11:12" x14ac:dyDescent="0.5">
      <c r="K354" s="10"/>
      <c r="L354" s="10"/>
    </row>
    <row r="355" spans="11:12" x14ac:dyDescent="0.5">
      <c r="K355" s="10"/>
      <c r="L355" s="10"/>
    </row>
    <row r="356" spans="11:12" x14ac:dyDescent="0.5">
      <c r="K356" s="10"/>
      <c r="L356" s="10"/>
    </row>
    <row r="357" spans="11:12" x14ac:dyDescent="0.5">
      <c r="K357" s="10"/>
      <c r="L357" s="10"/>
    </row>
    <row r="358" spans="11:12" x14ac:dyDescent="0.5">
      <c r="K358" s="10"/>
      <c r="L358" s="10"/>
    </row>
    <row r="359" spans="11:12" x14ac:dyDescent="0.5">
      <c r="K359" s="10"/>
      <c r="L359" s="10"/>
    </row>
    <row r="360" spans="11:12" x14ac:dyDescent="0.5">
      <c r="K360" s="10"/>
      <c r="L360" s="10"/>
    </row>
    <row r="361" spans="11:12" x14ac:dyDescent="0.5">
      <c r="K361" s="10"/>
      <c r="L361" s="10"/>
    </row>
    <row r="362" spans="11:12" x14ac:dyDescent="0.5">
      <c r="K362" s="10"/>
      <c r="L362" s="10"/>
    </row>
    <row r="363" spans="11:12" x14ac:dyDescent="0.5">
      <c r="K363" s="10"/>
      <c r="L363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dhs</vt:lpstr>
      <vt:lpstr>FY 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stevensj</dc:creator>
  <cp:lastModifiedBy>Chambers, Kevin</cp:lastModifiedBy>
  <cp:lastPrinted>2021-05-31T14:52:32Z</cp:lastPrinted>
  <dcterms:created xsi:type="dcterms:W3CDTF">2017-10-18T15:13:08Z</dcterms:created>
  <dcterms:modified xsi:type="dcterms:W3CDTF">2026-09-15T10:55:30Z</dcterms:modified>
</cp:coreProperties>
</file>